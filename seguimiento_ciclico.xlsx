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farmaciaazularg.sharepoint.com/sites/InventarioscclicosparaTiendas/Documentos compartidos/Control Cíclico Sucursales/Control inventario Recoleta V/"/>
    </mc:Choice>
  </mc:AlternateContent>
  <xr:revisionPtr revIDLastSave="3105" documentId="8_{9178BCD7-036C-453F-8480-17A9AE751DCA}" xr6:coauthVersionLast="47" xr6:coauthVersionMax="47" xr10:uidLastSave="{0899D10B-E1FA-436E-8FFE-B5F73A5652BC}"/>
  <workbookProtection workbookAlgorithmName="SHA-512" workbookHashValue="4RuoF0D6oVOk3TDPejsxbMr+23JRbfl18fkukTz5ub1bzq84fs90dyixP+KhuDZShVcdJw7IqUya6IFtnkC2tQ==" workbookSaltValue="PLYUTyESfPuvjT/unWKpZA==" workbookSpinCount="100000" lockStructure="1"/>
  <bookViews>
    <workbookView minimized="1" xWindow="32040" yWindow="3190" windowWidth="14400" windowHeight="7270" xr2:uid="{940A3CA4-ACFD-473F-BF2D-BC016433F7B7}"/>
  </bookViews>
  <sheets>
    <sheet name="CONSOLIDADO - ALCANCE " sheetId="8" r:id="rId1"/>
    <sheet name="Medicamentos" sheetId="3" r:id="rId2"/>
    <sheet name="Perfumería" sheetId="4" r:id="rId3"/>
    <sheet name="Accesorios" sheetId="5" r:id="rId4"/>
    <sheet name="Varios" sheetId="6" r:id="rId5"/>
    <sheet name="Ajustes" sheetId="9" r:id="rId6"/>
  </sheets>
  <externalReferences>
    <externalReference r:id="rId7"/>
  </externalReferences>
  <definedNames>
    <definedName name="_xlnm._FilterDatabase" localSheetId="1" hidden="1">Medicamentos!$A$9:$I$155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3" l="1"/>
  <c r="I11" i="8"/>
  <c r="F10" i="3"/>
  <c r="F11" i="3"/>
  <c r="H11" i="3"/>
  <c r="G11" i="3"/>
  <c r="I1" i="8" l="1"/>
  <c r="I11" i="6" l="1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10" i="6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I85" i="5"/>
  <c r="I86" i="5"/>
  <c r="I87" i="5"/>
  <c r="I88" i="5"/>
  <c r="I89" i="5"/>
  <c r="I90" i="5"/>
  <c r="I91" i="5"/>
  <c r="I92" i="5"/>
  <c r="I93" i="5"/>
  <c r="I94" i="5"/>
  <c r="I95" i="5"/>
  <c r="I96" i="5"/>
  <c r="I97" i="5"/>
  <c r="I98" i="5"/>
  <c r="I99" i="5"/>
  <c r="I100" i="5"/>
  <c r="I101" i="5"/>
  <c r="I102" i="5"/>
  <c r="I103" i="5"/>
  <c r="I104" i="5"/>
  <c r="I105" i="5"/>
  <c r="I106" i="5"/>
  <c r="I107" i="5"/>
  <c r="I108" i="5"/>
  <c r="I109" i="5"/>
  <c r="I110" i="5"/>
  <c r="I111" i="5"/>
  <c r="I112" i="5"/>
  <c r="I113" i="5"/>
  <c r="I114" i="5"/>
  <c r="I115" i="5"/>
  <c r="I116" i="5"/>
  <c r="I117" i="5"/>
  <c r="I118" i="5"/>
  <c r="I119" i="5"/>
  <c r="I120" i="5"/>
  <c r="I121" i="5"/>
  <c r="I122" i="5"/>
  <c r="I123" i="5"/>
  <c r="I10" i="5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10" i="4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0" i="3"/>
  <c r="C6" i="8"/>
  <c r="F26" i="6"/>
  <c r="G26" i="6"/>
  <c r="H26" i="6"/>
  <c r="F27" i="6"/>
  <c r="G27" i="6"/>
  <c r="H27" i="6"/>
  <c r="F28" i="6"/>
  <c r="G28" i="6"/>
  <c r="H28" i="6"/>
  <c r="F29" i="6"/>
  <c r="G29" i="6"/>
  <c r="H29" i="6"/>
  <c r="F30" i="6"/>
  <c r="G30" i="6"/>
  <c r="H30" i="6"/>
  <c r="F31" i="6"/>
  <c r="G31" i="6"/>
  <c r="H31" i="6"/>
  <c r="F32" i="6"/>
  <c r="G32" i="6"/>
  <c r="H32" i="6"/>
  <c r="F33" i="6"/>
  <c r="G33" i="6"/>
  <c r="H33" i="6"/>
  <c r="F34" i="6"/>
  <c r="G34" i="6"/>
  <c r="H34" i="6"/>
  <c r="F35" i="6"/>
  <c r="G35" i="6"/>
  <c r="H35" i="6"/>
  <c r="F36" i="6"/>
  <c r="G36" i="6"/>
  <c r="H36" i="6"/>
  <c r="F37" i="6"/>
  <c r="G37" i="6"/>
  <c r="H37" i="6"/>
  <c r="F38" i="6"/>
  <c r="G38" i="6"/>
  <c r="H38" i="6"/>
  <c r="F39" i="6"/>
  <c r="G39" i="6"/>
  <c r="H39" i="6"/>
  <c r="F40" i="6"/>
  <c r="G40" i="6"/>
  <c r="H40" i="6"/>
  <c r="F41" i="6"/>
  <c r="G41" i="6"/>
  <c r="H41" i="6"/>
  <c r="F42" i="6"/>
  <c r="G42" i="6"/>
  <c r="H42" i="6"/>
  <c r="F43" i="6"/>
  <c r="G43" i="6"/>
  <c r="H43" i="6"/>
  <c r="F44" i="6"/>
  <c r="G44" i="6"/>
  <c r="H44" i="6"/>
  <c r="F45" i="6"/>
  <c r="G45" i="6"/>
  <c r="H45" i="6"/>
  <c r="F104" i="5"/>
  <c r="G104" i="5"/>
  <c r="H104" i="5"/>
  <c r="F105" i="5"/>
  <c r="G105" i="5"/>
  <c r="H105" i="5"/>
  <c r="F106" i="5"/>
  <c r="G106" i="5"/>
  <c r="H106" i="5"/>
  <c r="F107" i="5"/>
  <c r="G107" i="5"/>
  <c r="H107" i="5"/>
  <c r="F108" i="5"/>
  <c r="G108" i="5"/>
  <c r="H108" i="5"/>
  <c r="F109" i="5"/>
  <c r="G109" i="5"/>
  <c r="H109" i="5"/>
  <c r="F110" i="5"/>
  <c r="G110" i="5"/>
  <c r="H110" i="5"/>
  <c r="F111" i="5"/>
  <c r="G111" i="5"/>
  <c r="H111" i="5"/>
  <c r="F112" i="5"/>
  <c r="G112" i="5"/>
  <c r="H112" i="5"/>
  <c r="F113" i="5"/>
  <c r="G113" i="5"/>
  <c r="H113" i="5"/>
  <c r="F114" i="5"/>
  <c r="G114" i="5"/>
  <c r="H114" i="5"/>
  <c r="F115" i="5"/>
  <c r="G115" i="5"/>
  <c r="H115" i="5"/>
  <c r="F116" i="5"/>
  <c r="G116" i="5"/>
  <c r="H116" i="5"/>
  <c r="F117" i="5"/>
  <c r="G117" i="5"/>
  <c r="H117" i="5"/>
  <c r="F118" i="5"/>
  <c r="G118" i="5"/>
  <c r="H118" i="5"/>
  <c r="F119" i="5"/>
  <c r="G119" i="5"/>
  <c r="H119" i="5"/>
  <c r="F120" i="5"/>
  <c r="G120" i="5"/>
  <c r="H120" i="5"/>
  <c r="F121" i="5"/>
  <c r="G121" i="5"/>
  <c r="H121" i="5"/>
  <c r="F122" i="5"/>
  <c r="G122" i="5"/>
  <c r="H122" i="5"/>
  <c r="F123" i="5"/>
  <c r="G123" i="5"/>
  <c r="H123" i="5"/>
  <c r="F64" i="4"/>
  <c r="G64" i="4"/>
  <c r="H64" i="4"/>
  <c r="F65" i="4"/>
  <c r="G65" i="4"/>
  <c r="H65" i="4"/>
  <c r="F66" i="4"/>
  <c r="G66" i="4"/>
  <c r="H66" i="4"/>
  <c r="F67" i="4"/>
  <c r="G67" i="4"/>
  <c r="H67" i="4"/>
  <c r="F68" i="4"/>
  <c r="G68" i="4"/>
  <c r="H68" i="4"/>
  <c r="F69" i="4"/>
  <c r="G69" i="4"/>
  <c r="H69" i="4"/>
  <c r="F70" i="4"/>
  <c r="G70" i="4"/>
  <c r="H70" i="4"/>
  <c r="F71" i="4"/>
  <c r="G71" i="4"/>
  <c r="H71" i="4"/>
  <c r="F72" i="4"/>
  <c r="G72" i="4"/>
  <c r="H72" i="4"/>
  <c r="F73" i="4"/>
  <c r="G73" i="4"/>
  <c r="H73" i="4"/>
  <c r="F74" i="4"/>
  <c r="G74" i="4"/>
  <c r="H74" i="4"/>
  <c r="F75" i="4"/>
  <c r="G75" i="4"/>
  <c r="H75" i="4"/>
  <c r="F76" i="4"/>
  <c r="G76" i="4"/>
  <c r="H76" i="4"/>
  <c r="F77" i="4"/>
  <c r="G77" i="4"/>
  <c r="H77" i="4"/>
  <c r="F78" i="4"/>
  <c r="G78" i="4"/>
  <c r="H78" i="4"/>
  <c r="F79" i="4"/>
  <c r="G79" i="4"/>
  <c r="H79" i="4"/>
  <c r="F80" i="4"/>
  <c r="G80" i="4"/>
  <c r="H80" i="4"/>
  <c r="F81" i="4"/>
  <c r="G81" i="4"/>
  <c r="H81" i="4"/>
  <c r="F82" i="4"/>
  <c r="G82" i="4"/>
  <c r="H82" i="4"/>
  <c r="F83" i="4"/>
  <c r="G83" i="4"/>
  <c r="H83" i="4"/>
  <c r="F128" i="3"/>
  <c r="G128" i="3"/>
  <c r="H128" i="3"/>
  <c r="F129" i="3"/>
  <c r="G129" i="3"/>
  <c r="H129" i="3"/>
  <c r="F130" i="3"/>
  <c r="G130" i="3"/>
  <c r="H130" i="3"/>
  <c r="F131" i="3"/>
  <c r="G131" i="3"/>
  <c r="H131" i="3"/>
  <c r="F132" i="3"/>
  <c r="G132" i="3"/>
  <c r="H132" i="3"/>
  <c r="F133" i="3"/>
  <c r="G133" i="3"/>
  <c r="H133" i="3"/>
  <c r="F134" i="3"/>
  <c r="G134" i="3"/>
  <c r="H134" i="3"/>
  <c r="F135" i="3"/>
  <c r="G135" i="3"/>
  <c r="H135" i="3"/>
  <c r="F136" i="3"/>
  <c r="G136" i="3"/>
  <c r="H136" i="3"/>
  <c r="F137" i="3"/>
  <c r="G137" i="3"/>
  <c r="H137" i="3"/>
  <c r="F138" i="3"/>
  <c r="G138" i="3"/>
  <c r="H138" i="3"/>
  <c r="F139" i="3"/>
  <c r="G139" i="3"/>
  <c r="H139" i="3"/>
  <c r="F140" i="3"/>
  <c r="G140" i="3"/>
  <c r="H140" i="3"/>
  <c r="F141" i="3"/>
  <c r="G141" i="3"/>
  <c r="H141" i="3"/>
  <c r="F142" i="3"/>
  <c r="G142" i="3"/>
  <c r="H142" i="3"/>
  <c r="F143" i="3"/>
  <c r="G143" i="3"/>
  <c r="H143" i="3"/>
  <c r="F144" i="3"/>
  <c r="G144" i="3"/>
  <c r="H144" i="3"/>
  <c r="F145" i="3"/>
  <c r="G145" i="3"/>
  <c r="H145" i="3"/>
  <c r="F146" i="3"/>
  <c r="G146" i="3"/>
  <c r="H146" i="3"/>
  <c r="F147" i="3"/>
  <c r="G147" i="3"/>
  <c r="H147" i="3"/>
  <c r="F148" i="3"/>
  <c r="G148" i="3"/>
  <c r="H148" i="3"/>
  <c r="F149" i="3"/>
  <c r="G149" i="3"/>
  <c r="H149" i="3"/>
  <c r="F150" i="3"/>
  <c r="G150" i="3"/>
  <c r="H150" i="3"/>
  <c r="F151" i="3"/>
  <c r="G151" i="3"/>
  <c r="H151" i="3"/>
  <c r="F152" i="3"/>
  <c r="G152" i="3"/>
  <c r="H152" i="3"/>
  <c r="F153" i="3"/>
  <c r="G153" i="3"/>
  <c r="H153" i="3"/>
  <c r="F154" i="3"/>
  <c r="G154" i="3"/>
  <c r="H154" i="3"/>
  <c r="C46" i="6"/>
  <c r="C124" i="5"/>
  <c r="C84" i="4"/>
  <c r="C155" i="3"/>
  <c r="F12" i="4"/>
  <c r="F14" i="4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10" i="6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" i="5"/>
  <c r="F11" i="4"/>
  <c r="F13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7" i="4"/>
  <c r="F58" i="4"/>
  <c r="F59" i="4"/>
  <c r="F60" i="4"/>
  <c r="F61" i="4"/>
  <c r="F62" i="4"/>
  <c r="F63" i="4"/>
  <c r="F10" i="4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W151" i="9"/>
  <c r="U151" i="9"/>
  <c r="S151" i="9"/>
  <c r="Q151" i="9"/>
  <c r="O151" i="9"/>
  <c r="M151" i="9"/>
  <c r="K151" i="9"/>
  <c r="I151" i="9"/>
  <c r="G151" i="9"/>
  <c r="E151" i="9"/>
  <c r="C151" i="9"/>
  <c r="A151" i="9"/>
  <c r="E124" i="5"/>
  <c r="D124" i="5"/>
  <c r="B124" i="5"/>
  <c r="H103" i="5"/>
  <c r="G103" i="5"/>
  <c r="H102" i="5"/>
  <c r="G102" i="5"/>
  <c r="H101" i="5"/>
  <c r="G101" i="5"/>
  <c r="H100" i="5"/>
  <c r="G100" i="5"/>
  <c r="H99" i="5"/>
  <c r="G99" i="5"/>
  <c r="H98" i="5"/>
  <c r="G98" i="5"/>
  <c r="H97" i="5"/>
  <c r="G97" i="5"/>
  <c r="H96" i="5"/>
  <c r="G96" i="5"/>
  <c r="H95" i="5"/>
  <c r="G95" i="5"/>
  <c r="H94" i="5"/>
  <c r="G94" i="5"/>
  <c r="H93" i="5"/>
  <c r="G93" i="5"/>
  <c r="H92" i="5"/>
  <c r="G92" i="5"/>
  <c r="H91" i="5"/>
  <c r="G91" i="5"/>
  <c r="H90" i="5"/>
  <c r="G90" i="5"/>
  <c r="H89" i="5"/>
  <c r="G89" i="5"/>
  <c r="H88" i="5"/>
  <c r="G88" i="5"/>
  <c r="H87" i="5"/>
  <c r="G87" i="5"/>
  <c r="H86" i="5"/>
  <c r="G86" i="5"/>
  <c r="H85" i="5"/>
  <c r="G85" i="5"/>
  <c r="H84" i="5"/>
  <c r="G84" i="5"/>
  <c r="H83" i="5"/>
  <c r="G83" i="5"/>
  <c r="H82" i="5"/>
  <c r="G82" i="5"/>
  <c r="H81" i="5"/>
  <c r="G81" i="5"/>
  <c r="H80" i="5"/>
  <c r="G80" i="5"/>
  <c r="H79" i="5"/>
  <c r="G79" i="5"/>
  <c r="H78" i="5"/>
  <c r="G78" i="5"/>
  <c r="H77" i="5"/>
  <c r="G77" i="5"/>
  <c r="H76" i="5"/>
  <c r="G76" i="5"/>
  <c r="H75" i="5"/>
  <c r="G75" i="5"/>
  <c r="H74" i="5"/>
  <c r="G74" i="5"/>
  <c r="H73" i="5"/>
  <c r="G73" i="5"/>
  <c r="H72" i="5"/>
  <c r="G72" i="5"/>
  <c r="H71" i="5"/>
  <c r="G71" i="5"/>
  <c r="H70" i="5"/>
  <c r="G70" i="5"/>
  <c r="H69" i="5"/>
  <c r="G69" i="5"/>
  <c r="H68" i="5"/>
  <c r="G68" i="5"/>
  <c r="H67" i="5"/>
  <c r="G67" i="5"/>
  <c r="H66" i="5"/>
  <c r="G66" i="5"/>
  <c r="H65" i="5"/>
  <c r="G65" i="5"/>
  <c r="H64" i="5"/>
  <c r="G64" i="5"/>
  <c r="H63" i="5"/>
  <c r="G63" i="5"/>
  <c r="H62" i="5"/>
  <c r="G62" i="5"/>
  <c r="H61" i="5"/>
  <c r="G61" i="5"/>
  <c r="H60" i="5"/>
  <c r="G60" i="5"/>
  <c r="H59" i="5"/>
  <c r="G59" i="5"/>
  <c r="H58" i="5"/>
  <c r="G58" i="5"/>
  <c r="H57" i="5"/>
  <c r="G57" i="5"/>
  <c r="H56" i="5"/>
  <c r="G56" i="5"/>
  <c r="H55" i="5"/>
  <c r="G55" i="5"/>
  <c r="H54" i="5"/>
  <c r="G54" i="5"/>
  <c r="H53" i="5"/>
  <c r="G53" i="5"/>
  <c r="H52" i="5"/>
  <c r="G52" i="5"/>
  <c r="H51" i="5"/>
  <c r="G51" i="5"/>
  <c r="H50" i="5"/>
  <c r="G50" i="5"/>
  <c r="H49" i="5"/>
  <c r="G49" i="5"/>
  <c r="H48" i="5"/>
  <c r="G48" i="5"/>
  <c r="H47" i="5"/>
  <c r="G47" i="5"/>
  <c r="H46" i="5"/>
  <c r="G46" i="5"/>
  <c r="H45" i="5"/>
  <c r="G45" i="5"/>
  <c r="H44" i="5"/>
  <c r="G44" i="5"/>
  <c r="H43" i="5"/>
  <c r="G43" i="5"/>
  <c r="H42" i="5"/>
  <c r="G42" i="5"/>
  <c r="H41" i="5"/>
  <c r="G41" i="5"/>
  <c r="H40" i="5"/>
  <c r="G40" i="5"/>
  <c r="H39" i="5"/>
  <c r="G39" i="5"/>
  <c r="H38" i="5"/>
  <c r="G38" i="5"/>
  <c r="E84" i="4"/>
  <c r="D84" i="4"/>
  <c r="B84" i="4"/>
  <c r="H63" i="4"/>
  <c r="G63" i="4"/>
  <c r="H62" i="4"/>
  <c r="G62" i="4"/>
  <c r="H61" i="4"/>
  <c r="G61" i="4"/>
  <c r="H60" i="4"/>
  <c r="G60" i="4"/>
  <c r="H59" i="4"/>
  <c r="G59" i="4"/>
  <c r="H58" i="4"/>
  <c r="G58" i="4"/>
  <c r="H57" i="4"/>
  <c r="G57" i="4"/>
  <c r="H56" i="4"/>
  <c r="G56" i="4"/>
  <c r="H55" i="4"/>
  <c r="G55" i="4"/>
  <c r="H54" i="4"/>
  <c r="G54" i="4"/>
  <c r="H53" i="4"/>
  <c r="G53" i="4"/>
  <c r="H52" i="4"/>
  <c r="G52" i="4"/>
  <c r="H51" i="4"/>
  <c r="G51" i="4"/>
  <c r="H50" i="4"/>
  <c r="G50" i="4"/>
  <c r="H49" i="4"/>
  <c r="G49" i="4"/>
  <c r="H48" i="4"/>
  <c r="G48" i="4"/>
  <c r="H47" i="4"/>
  <c r="G47" i="4"/>
  <c r="H46" i="4"/>
  <c r="G46" i="4"/>
  <c r="H45" i="4"/>
  <c r="G45" i="4"/>
  <c r="H44" i="4"/>
  <c r="G44" i="4"/>
  <c r="H43" i="4"/>
  <c r="G43" i="4"/>
  <c r="H42" i="4"/>
  <c r="G42" i="4"/>
  <c r="H41" i="4"/>
  <c r="G41" i="4"/>
  <c r="H40" i="4"/>
  <c r="G40" i="4"/>
  <c r="H39" i="4"/>
  <c r="G39" i="4"/>
  <c r="H38" i="4"/>
  <c r="G38" i="4"/>
  <c r="H37" i="4"/>
  <c r="G37" i="4"/>
  <c r="H36" i="4"/>
  <c r="G36" i="4"/>
  <c r="H35" i="4"/>
  <c r="G35" i="4"/>
  <c r="H34" i="4"/>
  <c r="G34" i="4"/>
  <c r="E155" i="3"/>
  <c r="D155" i="3"/>
  <c r="B155" i="3"/>
  <c r="H127" i="3"/>
  <c r="G127" i="3"/>
  <c r="H126" i="3"/>
  <c r="G126" i="3"/>
  <c r="H125" i="3"/>
  <c r="G125" i="3"/>
  <c r="H124" i="3"/>
  <c r="G124" i="3"/>
  <c r="H123" i="3"/>
  <c r="G123" i="3"/>
  <c r="H122" i="3"/>
  <c r="G122" i="3"/>
  <c r="H121" i="3"/>
  <c r="G121" i="3"/>
  <c r="H120" i="3"/>
  <c r="G120" i="3"/>
  <c r="H119" i="3"/>
  <c r="G119" i="3"/>
  <c r="H118" i="3"/>
  <c r="G118" i="3"/>
  <c r="H117" i="3"/>
  <c r="G117" i="3"/>
  <c r="H116" i="3"/>
  <c r="G116" i="3"/>
  <c r="H115" i="3"/>
  <c r="G115" i="3"/>
  <c r="H114" i="3"/>
  <c r="G114" i="3"/>
  <c r="H113" i="3"/>
  <c r="G113" i="3"/>
  <c r="H112" i="3"/>
  <c r="G112" i="3"/>
  <c r="H111" i="3"/>
  <c r="G111" i="3"/>
  <c r="H110" i="3"/>
  <c r="G110" i="3"/>
  <c r="H109" i="3"/>
  <c r="G109" i="3"/>
  <c r="H108" i="3"/>
  <c r="G108" i="3"/>
  <c r="H107" i="3"/>
  <c r="G107" i="3"/>
  <c r="H106" i="3"/>
  <c r="G106" i="3"/>
  <c r="H105" i="3"/>
  <c r="G105" i="3"/>
  <c r="H104" i="3"/>
  <c r="G104" i="3"/>
  <c r="H103" i="3"/>
  <c r="G103" i="3"/>
  <c r="H102" i="3"/>
  <c r="G102" i="3"/>
  <c r="H101" i="3"/>
  <c r="G101" i="3"/>
  <c r="H100" i="3"/>
  <c r="G100" i="3"/>
  <c r="H99" i="3"/>
  <c r="G99" i="3"/>
  <c r="H98" i="3"/>
  <c r="G98" i="3"/>
  <c r="H97" i="3"/>
  <c r="G97" i="3"/>
  <c r="H96" i="3"/>
  <c r="G96" i="3"/>
  <c r="H95" i="3"/>
  <c r="G95" i="3"/>
  <c r="H94" i="3"/>
  <c r="G94" i="3"/>
  <c r="H93" i="3"/>
  <c r="G93" i="3"/>
  <c r="H92" i="3"/>
  <c r="G92" i="3"/>
  <c r="H91" i="3"/>
  <c r="G91" i="3"/>
  <c r="H90" i="3"/>
  <c r="G90" i="3"/>
  <c r="H89" i="3"/>
  <c r="G89" i="3"/>
  <c r="H88" i="3"/>
  <c r="G88" i="3"/>
  <c r="H87" i="3"/>
  <c r="G87" i="3"/>
  <c r="H86" i="3"/>
  <c r="G86" i="3"/>
  <c r="H85" i="3"/>
  <c r="G85" i="3"/>
  <c r="H84" i="3"/>
  <c r="G84" i="3"/>
  <c r="H83" i="3"/>
  <c r="G83" i="3"/>
  <c r="H82" i="3"/>
  <c r="G82" i="3"/>
  <c r="H81" i="3"/>
  <c r="G81" i="3"/>
  <c r="H80" i="3"/>
  <c r="G80" i="3"/>
  <c r="H79" i="3"/>
  <c r="G79" i="3"/>
  <c r="H78" i="3"/>
  <c r="G78" i="3"/>
  <c r="H77" i="3"/>
  <c r="G77" i="3"/>
  <c r="H76" i="3"/>
  <c r="G76" i="3"/>
  <c r="H75" i="3"/>
  <c r="G75" i="3"/>
  <c r="H74" i="3"/>
  <c r="G74" i="3"/>
  <c r="H73" i="3"/>
  <c r="G73" i="3"/>
  <c r="H72" i="3"/>
  <c r="G72" i="3"/>
  <c r="H71" i="3"/>
  <c r="G71" i="3"/>
  <c r="H70" i="3"/>
  <c r="G70" i="3"/>
  <c r="H69" i="3"/>
  <c r="G69" i="3"/>
  <c r="H68" i="3"/>
  <c r="G68" i="3"/>
  <c r="H67" i="3"/>
  <c r="G67" i="3"/>
  <c r="H66" i="3"/>
  <c r="G66" i="3"/>
  <c r="H65" i="3"/>
  <c r="G65" i="3"/>
  <c r="H64" i="3"/>
  <c r="G64" i="3"/>
  <c r="H63" i="3"/>
  <c r="G63" i="3"/>
  <c r="H62" i="3"/>
  <c r="G62" i="3"/>
  <c r="H61" i="3"/>
  <c r="G61" i="3"/>
  <c r="H60" i="3"/>
  <c r="G60" i="3"/>
  <c r="H59" i="3"/>
  <c r="G59" i="3"/>
  <c r="H58" i="3"/>
  <c r="G58" i="3"/>
  <c r="H57" i="3"/>
  <c r="G57" i="3"/>
  <c r="H56" i="3"/>
  <c r="G56" i="3"/>
  <c r="H55" i="3"/>
  <c r="G55" i="3"/>
  <c r="H54" i="3"/>
  <c r="G54" i="3"/>
  <c r="H53" i="3"/>
  <c r="G53" i="3"/>
  <c r="H52" i="3"/>
  <c r="G52" i="3"/>
  <c r="H51" i="3"/>
  <c r="G51" i="3"/>
  <c r="H50" i="3"/>
  <c r="G50" i="3"/>
  <c r="H49" i="3"/>
  <c r="G49" i="3"/>
  <c r="H48" i="3"/>
  <c r="G48" i="3"/>
  <c r="H47" i="3"/>
  <c r="G47" i="3"/>
  <c r="H46" i="3"/>
  <c r="G46" i="3"/>
  <c r="H45" i="3"/>
  <c r="G45" i="3"/>
  <c r="H44" i="3"/>
  <c r="G44" i="3"/>
  <c r="H43" i="3"/>
  <c r="G43" i="3"/>
  <c r="H42" i="3"/>
  <c r="G42" i="3"/>
  <c r="H41" i="3"/>
  <c r="G41" i="3"/>
  <c r="H40" i="3"/>
  <c r="G40" i="3"/>
  <c r="H39" i="3"/>
  <c r="G39" i="3"/>
  <c r="H16" i="3"/>
  <c r="H19" i="3"/>
  <c r="H12" i="3"/>
  <c r="H13" i="3"/>
  <c r="H14" i="3"/>
  <c r="H15" i="3"/>
  <c r="H17" i="3"/>
  <c r="H18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10" i="3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10" i="4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10" i="5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E46" i="6"/>
  <c r="B46" i="6"/>
  <c r="Z5" i="8" l="1"/>
  <c r="E5" i="8" s="1"/>
  <c r="C5" i="6"/>
  <c r="G12" i="8"/>
  <c r="C5" i="5"/>
  <c r="D11" i="8"/>
  <c r="C5" i="4"/>
  <c r="C5" i="3"/>
  <c r="G10" i="8"/>
  <c r="G11" i="8"/>
  <c r="D12" i="8"/>
  <c r="I46" i="6"/>
  <c r="C12" i="8" s="1"/>
  <c r="E12" i="8"/>
  <c r="D10" i="8"/>
  <c r="E10" i="8"/>
  <c r="E11" i="8"/>
  <c r="I124" i="5"/>
  <c r="G9" i="8"/>
  <c r="D9" i="8"/>
  <c r="E9" i="8"/>
  <c r="I84" i="4"/>
  <c r="C10" i="8" s="1"/>
  <c r="I155" i="3"/>
  <c r="C9" i="8" s="1"/>
  <c r="H84" i="4"/>
  <c r="V152" i="9"/>
  <c r="F124" i="5"/>
  <c r="F84" i="4"/>
  <c r="D152" i="9"/>
  <c r="F155" i="3"/>
  <c r="P152" i="9"/>
  <c r="J152" i="9"/>
  <c r="H46" i="6"/>
  <c r="H124" i="5"/>
  <c r="H155" i="3"/>
  <c r="F5" i="8" l="1"/>
  <c r="F11" i="8"/>
  <c r="F10" i="8"/>
  <c r="F9" i="8"/>
  <c r="F46" i="6"/>
  <c r="D46" i="6"/>
  <c r="F12" i="8" s="1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C11" i="8" s="1"/>
  <c r="C13" i="8" s="1"/>
  <c r="G15" i="5"/>
  <c r="G14" i="5"/>
  <c r="G13" i="5"/>
  <c r="G12" i="5"/>
  <c r="G11" i="5"/>
  <c r="G10" i="5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38" i="3"/>
  <c r="G37" i="3"/>
  <c r="G36" i="3"/>
  <c r="F6" i="8" l="1"/>
  <c r="M3" i="8" s="1"/>
  <c r="G124" i="5"/>
  <c r="G84" i="4"/>
  <c r="G46" i="6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10" i="3"/>
  <c r="E2" i="5" l="1"/>
  <c r="E2" i="6"/>
  <c r="E2" i="3"/>
  <c r="E2" i="4"/>
  <c r="G155" i="3"/>
  <c r="E13" i="8"/>
  <c r="D13" i="8"/>
  <c r="G13" i="8" l="1"/>
  <c r="F13" i="8"/>
  <c r="B16" i="8" l="1"/>
  <c r="D15" i="8" s="1"/>
  <c r="G5" i="4" l="1"/>
  <c r="G5" i="3"/>
  <c r="G5" i="5"/>
  <c r="G5" i="6"/>
</calcChain>
</file>

<file path=xl/sharedStrings.xml><?xml version="1.0" encoding="utf-8"?>
<sst xmlns="http://schemas.openxmlformats.org/spreadsheetml/2006/main" count="985" uniqueCount="302">
  <si>
    <t>Contacto wsp :</t>
  </si>
  <si>
    <t>Celda F5</t>
  </si>
  <si>
    <t>Responsable:</t>
  </si>
  <si>
    <t>Enviar Mensaje</t>
  </si>
  <si>
    <t xml:space="preserve">Total de dias / Porcentaje </t>
  </si>
  <si>
    <t>Lista Ajustado</t>
  </si>
  <si>
    <t>Diferencia Dias</t>
  </si>
  <si>
    <t>Fecha de inicio</t>
  </si>
  <si>
    <t>Celda F5 Cantidad dias</t>
  </si>
  <si>
    <t>Si</t>
  </si>
  <si>
    <t>Fecha actual</t>
  </si>
  <si>
    <t>% de Avance</t>
  </si>
  <si>
    <t>No</t>
  </si>
  <si>
    <t>Rubro</t>
  </si>
  <si>
    <t>% avance</t>
  </si>
  <si>
    <t>Unid invent</t>
  </si>
  <si>
    <t>Unid Fisicas</t>
  </si>
  <si>
    <t>Dif</t>
  </si>
  <si>
    <t>Ajuste $$</t>
  </si>
  <si>
    <t>Medicamentos</t>
  </si>
  <si>
    <t>Perfumeria</t>
  </si>
  <si>
    <t>Respuesta Recibido</t>
  </si>
  <si>
    <t>Accesorios</t>
  </si>
  <si>
    <t>Varios</t>
  </si>
  <si>
    <t>Total inventario</t>
  </si>
  <si>
    <t>Evolución de control  
Categoria Medicamentos</t>
  </si>
  <si>
    <t>Cluster</t>
  </si>
  <si>
    <t>Laboratorio</t>
  </si>
  <si>
    <t>Fecha de conteo</t>
  </si>
  <si>
    <t>Cajas</t>
  </si>
  <si>
    <t>Conteo Fisico</t>
  </si>
  <si>
    <t>Costo Dif</t>
  </si>
  <si>
    <t>Diferencias</t>
  </si>
  <si>
    <t>Chek</t>
  </si>
  <si>
    <t>Ajustado</t>
  </si>
  <si>
    <t>A</t>
  </si>
  <si>
    <t>ANDRÓMACO</t>
  </si>
  <si>
    <t>BAGÓ</t>
  </si>
  <si>
    <t>BALIARDA</t>
  </si>
  <si>
    <t>BAYER CONSUMER</t>
  </si>
  <si>
    <t>CASASCO</t>
  </si>
  <si>
    <t>CASSARÁ</t>
  </si>
  <si>
    <t>ELEA</t>
  </si>
  <si>
    <t>GADOR</t>
  </si>
  <si>
    <t>GENOMMA LAB.</t>
  </si>
  <si>
    <t>GLAXOSMITHKLINE</t>
  </si>
  <si>
    <t>LABORATORIO GRA</t>
  </si>
  <si>
    <t>LABORATORIOS BE</t>
  </si>
  <si>
    <t>LAZAR</t>
  </si>
  <si>
    <t>LEPETIT</t>
  </si>
  <si>
    <t>MICROSULES ARG.</t>
  </si>
  <si>
    <t>MONTPELLIER</t>
  </si>
  <si>
    <t>NOVO NORDISK</t>
  </si>
  <si>
    <t>NUTRICIA-BAGÓ</t>
  </si>
  <si>
    <t>OPELLA HEALTHCA</t>
  </si>
  <si>
    <t>PANALAB</t>
  </si>
  <si>
    <t>PFIZER</t>
  </si>
  <si>
    <t>POEN</t>
  </si>
  <si>
    <t>PROCTER &amp; GAMBL</t>
  </si>
  <si>
    <t>RAFFO</t>
  </si>
  <si>
    <t>ROEMMERS</t>
  </si>
  <si>
    <t>SAVANT CONSUMER</t>
  </si>
  <si>
    <t>SIEGFRIED</t>
  </si>
  <si>
    <t>TEVA ARGENTINA</t>
  </si>
  <si>
    <t>TRB-PHARMA</t>
  </si>
  <si>
    <t>B</t>
  </si>
  <si>
    <t>ABBOTT EPD</t>
  </si>
  <si>
    <t>ABBVIE (EX ALLE</t>
  </si>
  <si>
    <t>ALCON</t>
  </si>
  <si>
    <t>ARISTON</t>
  </si>
  <si>
    <t>ASPEN FARMA</t>
  </si>
  <si>
    <t>ASTRAZENECA</t>
  </si>
  <si>
    <t>BAGÓ - ARCOR</t>
  </si>
  <si>
    <t>BAUSCH &amp; LOMB A</t>
  </si>
  <si>
    <t>BAYER (PH)</t>
  </si>
  <si>
    <t>BETA</t>
  </si>
  <si>
    <t>BIOL</t>
  </si>
  <si>
    <t>BIOPAS ARGENTIN</t>
  </si>
  <si>
    <t>BIOSINTEX RETAI</t>
  </si>
  <si>
    <t>BIOTENK</t>
  </si>
  <si>
    <t>BOEHRINGER INGE</t>
  </si>
  <si>
    <t>CRAVERI</t>
  </si>
  <si>
    <t>DALLAS</t>
  </si>
  <si>
    <t>DENVER FARMA</t>
  </si>
  <si>
    <t>DOMÍNGUEZ</t>
  </si>
  <si>
    <t>E.J.GEZZI</t>
  </si>
  <si>
    <t>EUROFARMA</t>
  </si>
  <si>
    <t>EXCELENTIA</t>
  </si>
  <si>
    <t>FECOFAR</t>
  </si>
  <si>
    <t>FINADIET</t>
  </si>
  <si>
    <t>FORTBENTON</t>
  </si>
  <si>
    <t>GALDERMA</t>
  </si>
  <si>
    <t>GÉMINIS FARMACÉ</t>
  </si>
  <si>
    <t>ISA</t>
  </si>
  <si>
    <t>JOHNSON &amp; JOHNS</t>
  </si>
  <si>
    <t>LABORATORIOS TE</t>
  </si>
  <si>
    <t>LERSAN</t>
  </si>
  <si>
    <t>LUNDBECK</t>
  </si>
  <si>
    <t>MAR</t>
  </si>
  <si>
    <t>MAX VISION</t>
  </si>
  <si>
    <t>MEDISOL</t>
  </si>
  <si>
    <t>MONSERRAT</t>
  </si>
  <si>
    <t>NATUFARMA</t>
  </si>
  <si>
    <t>NOLTER</t>
  </si>
  <si>
    <t>ORGANON ARG.</t>
  </si>
  <si>
    <t>OXAPHARMA</t>
  </si>
  <si>
    <t>PHARMA ALIOTH</t>
  </si>
  <si>
    <t>PHARMADORF</t>
  </si>
  <si>
    <t>RAYMOS-MEGALABS</t>
  </si>
  <si>
    <t>RECKITT BENCKIS</t>
  </si>
  <si>
    <t>RICHMOND</t>
  </si>
  <si>
    <t>SANITAS</t>
  </si>
  <si>
    <t>SANOFI-AVENTIS</t>
  </si>
  <si>
    <t>SCHAFER</t>
  </si>
  <si>
    <t>SEQIRUS</t>
  </si>
  <si>
    <t>SERVIER</t>
  </si>
  <si>
    <t>SIDUS</t>
  </si>
  <si>
    <t>SIN LABORATORIO</t>
  </si>
  <si>
    <t>SOUBEIRAN CHOBE</t>
  </si>
  <si>
    <t>TEMIS-LOSTALÓ</t>
  </si>
  <si>
    <t>C</t>
  </si>
  <si>
    <t>ABBOTT NUTRICIO</t>
  </si>
  <si>
    <t>AMENITE</t>
  </si>
  <si>
    <t>ASPEN ARGENTINA</t>
  </si>
  <si>
    <t>BAJER</t>
  </si>
  <si>
    <t>BIOPROFARMA BAG</t>
  </si>
  <si>
    <t>BIOSIDUS S.A.U.</t>
  </si>
  <si>
    <t>BIOTECHNO PHARM</t>
  </si>
  <si>
    <t>BIOTOSCANA</t>
  </si>
  <si>
    <t>B-LIFE</t>
  </si>
  <si>
    <t>CABUCHI</t>
  </si>
  <si>
    <t>CELNOVA ARGENTI</t>
  </si>
  <si>
    <t>CETUS</t>
  </si>
  <si>
    <t>DR.MADAUS</t>
  </si>
  <si>
    <t>ECZANE</t>
  </si>
  <si>
    <t>EUROLAB</t>
  </si>
  <si>
    <t>FERRING</t>
  </si>
  <si>
    <t>FORMULAB</t>
  </si>
  <si>
    <t>FRANCELAB</t>
  </si>
  <si>
    <t>FRESENIUS KABI</t>
  </si>
  <si>
    <t>GRAMÓN</t>
  </si>
  <si>
    <t>IMVI</t>
  </si>
  <si>
    <t>JANSSEN-CILAG</t>
  </si>
  <si>
    <t>LAB INTERNACION</t>
  </si>
  <si>
    <t>LABORATORIO ENA</t>
  </si>
  <si>
    <t>LABORATORIO MER</t>
  </si>
  <si>
    <t>LAFARMEN</t>
  </si>
  <si>
    <t>LAGOS</t>
  </si>
  <si>
    <t>MEAD JOHNSON NU</t>
  </si>
  <si>
    <t>MERISANT ARGENT</t>
  </si>
  <si>
    <t>MSD ARGENTINA S</t>
  </si>
  <si>
    <t>NATURAL LIFE</t>
  </si>
  <si>
    <t>NEO-DERMOS</t>
  </si>
  <si>
    <t>NOVARTIS</t>
  </si>
  <si>
    <t>NOVOPLOS</t>
  </si>
  <si>
    <t>OMICRON</t>
  </si>
  <si>
    <t>PÉREZ</t>
  </si>
  <si>
    <t>PHARMATRIX</t>
  </si>
  <si>
    <t>PROVEFARMA</t>
  </si>
  <si>
    <t>RICHET</t>
  </si>
  <si>
    <t>ROMINAFORT S.H.</t>
  </si>
  <si>
    <t>RONTAG</t>
  </si>
  <si>
    <t>ROSPAW</t>
  </si>
  <si>
    <t>ROSSMORE PHARMA</t>
  </si>
  <si>
    <t>SAVANT GENERIC</t>
  </si>
  <si>
    <t>SCOTT-CASSARÁ</t>
  </si>
  <si>
    <t>SERTEX</t>
  </si>
  <si>
    <t>SOPHIA</t>
  </si>
  <si>
    <t>VALUGE</t>
  </si>
  <si>
    <t>VANNIER</t>
  </si>
  <si>
    <t>VANNIER - GRUNE</t>
  </si>
  <si>
    <t>VENT 3</t>
  </si>
  <si>
    <t>YERUTI S.R.L.</t>
  </si>
  <si>
    <t>Evolución de control  
Perfumería</t>
  </si>
  <si>
    <t>BASICARE</t>
  </si>
  <si>
    <t>BEIERSDORF</t>
  </si>
  <si>
    <t>BUHL S.A</t>
  </si>
  <si>
    <t>CANNON PUNTANA S.A.</t>
  </si>
  <si>
    <t>CAPILATIS</t>
  </si>
  <si>
    <t>COLGATE</t>
  </si>
  <si>
    <t>COTY ARGENTINA S.A.</t>
  </si>
  <si>
    <t>DISWALD</t>
  </si>
  <si>
    <t>GILLETTE</t>
  </si>
  <si>
    <t>ISDIN</t>
  </si>
  <si>
    <t>ISSUE</t>
  </si>
  <si>
    <t>KIMBERLY CLARK ARGENTINA S.A.</t>
  </si>
  <si>
    <t>LA ROCHE-POSAY</t>
  </si>
  <si>
    <t>LOREAL ARGENTINA S.A.</t>
  </si>
  <si>
    <t>NEW REVLON ARGENTINA S.A.</t>
  </si>
  <si>
    <t>PIERRE FABRE DE</t>
  </si>
  <si>
    <t>SIN CLASIFICAR</t>
  </si>
  <si>
    <t>SUNSTAR</t>
  </si>
  <si>
    <t>UNILEVER</t>
  </si>
  <si>
    <t>UNILEVER DE ARGENTINA S.A.</t>
  </si>
  <si>
    <t>AISICO S.R.L.</t>
  </si>
  <si>
    <t>AVENT</t>
  </si>
  <si>
    <t>COMODEX S.A.</t>
  </si>
  <si>
    <t>COPAHUE</t>
  </si>
  <si>
    <t>DCCSA</t>
  </si>
  <si>
    <t>GRIMBERG</t>
  </si>
  <si>
    <t>JEANNE ARTHES PARIS</t>
  </si>
  <si>
    <t>JULERIAQUE</t>
  </si>
  <si>
    <t>KUIDAR</t>
  </si>
  <si>
    <t>L´OREAL MAQUILLAJE</t>
  </si>
  <si>
    <t>LA FÁRMACO ARG.</t>
  </si>
  <si>
    <t>NOSOTRAS</t>
  </si>
  <si>
    <t>PAPELERA DEL PLATA</t>
  </si>
  <si>
    <t>PRIFAMON S A INDUSTRIAL Y COMERCIAL</t>
  </si>
  <si>
    <t>PUIG ARGENTINA S.A.</t>
  </si>
  <si>
    <t>QUÍMICA ESTRELLA</t>
  </si>
  <si>
    <t>ROBY</t>
  </si>
  <si>
    <t>SAINT JULIEN S.A.</t>
  </si>
  <si>
    <t>VICHY</t>
  </si>
  <si>
    <t>ACONCAGUA.ALGOD</t>
  </si>
  <si>
    <t>AEROJET S.A.</t>
  </si>
  <si>
    <t>ANDRE LATOUR</t>
  </si>
  <si>
    <t>AROJET</t>
  </si>
  <si>
    <t>CACHAREL</t>
  </si>
  <si>
    <t>CALVIN KLEIN</t>
  </si>
  <si>
    <t>CEPAGE</t>
  </si>
  <si>
    <t>CHICCO</t>
  </si>
  <si>
    <t>DAVIDOFF</t>
  </si>
  <si>
    <t>DEPIMIEL</t>
  </si>
  <si>
    <t>GIORGIO ARMANI</t>
  </si>
  <si>
    <t>JOHNSON &amp; JOHNSON DERMO</t>
  </si>
  <si>
    <t>LA PAPELERA DEL PLATA S A</t>
  </si>
  <si>
    <t>LOREAL PROFESSIONNEL (1350)</t>
  </si>
  <si>
    <t>LOS CATALANES SRL</t>
  </si>
  <si>
    <t>NAMINCO</t>
  </si>
  <si>
    <t>PUIG INTERNACIONAL</t>
  </si>
  <si>
    <t>RALPH LAUREN</t>
  </si>
  <si>
    <t>ST IVES</t>
  </si>
  <si>
    <t>WELEDA</t>
  </si>
  <si>
    <t>Evolución de control  
Accesorios</t>
  </si>
  <si>
    <t>Costo Total</t>
  </si>
  <si>
    <t>EXIMIA</t>
  </si>
  <si>
    <t>LAB. AZUL</t>
  </si>
  <si>
    <t>LENOX</t>
  </si>
  <si>
    <t>LISTEN S.A.C.I.Y M.</t>
  </si>
  <si>
    <t>PORTA HNOS S.A.</t>
  </si>
  <si>
    <t>SUFARMA</t>
  </si>
  <si>
    <t>3 M</t>
  </si>
  <si>
    <t>FRAMINGHAM PHAR</t>
  </si>
  <si>
    <t>GARDEN HOUSE AR</t>
  </si>
  <si>
    <t>GARRE GUEVARA</t>
  </si>
  <si>
    <t>LABORATORIOS GASANA S.R.L.</t>
  </si>
  <si>
    <t>MAVERICK</t>
  </si>
  <si>
    <t>PARAFARM</t>
  </si>
  <si>
    <t>PROCER</t>
  </si>
  <si>
    <t>PROPATO</t>
  </si>
  <si>
    <t>SEISEME S.A.</t>
  </si>
  <si>
    <t>SILFAB</t>
  </si>
  <si>
    <t>SYRA S.A.</t>
  </si>
  <si>
    <t>ABBOTT DIABETES</t>
  </si>
  <si>
    <t>ARGENFARMA</t>
  </si>
  <si>
    <t>ASSISTANCE</t>
  </si>
  <si>
    <t>BODY CARE</t>
  </si>
  <si>
    <t>DEMA</t>
  </si>
  <si>
    <t>ETHICAL NUTRITI</t>
  </si>
  <si>
    <t>L.D.A.</t>
  </si>
  <si>
    <t>LABORATORIO ALB</t>
  </si>
  <si>
    <t>LABORATORIOS FA</t>
  </si>
  <si>
    <t>NESTLÉ HEALTH S</t>
  </si>
  <si>
    <t>PANTYMED SA</t>
  </si>
  <si>
    <t>PHARMAMERICAN S</t>
  </si>
  <si>
    <t>PIERRE FABRE OR</t>
  </si>
  <si>
    <t>QUÍMICA LUAR</t>
  </si>
  <si>
    <t>ROCHE DIABETES</t>
  </si>
  <si>
    <t>SANADROG</t>
  </si>
  <si>
    <t>SIDUS - LIFESCA</t>
  </si>
  <si>
    <t>STIAL S.A</t>
  </si>
  <si>
    <t>TERUMO (ACC.)</t>
  </si>
  <si>
    <t>VARIOS</t>
  </si>
  <si>
    <t>WERFEN MEDICAL</t>
  </si>
  <si>
    <t>Evolución de control  
Varios</t>
  </si>
  <si>
    <t>ARCOR</t>
  </si>
  <si>
    <t>CAPALBO</t>
  </si>
  <si>
    <t>COCA COLA / FEMSA</t>
  </si>
  <si>
    <t>ELITE</t>
  </si>
  <si>
    <t>ENERGIZER ARGENTINA S.A.</t>
  </si>
  <si>
    <t>FELFORT</t>
  </si>
  <si>
    <t>HOME 2000 S.A.</t>
  </si>
  <si>
    <t>INSBRUCK</t>
  </si>
  <si>
    <t>KRAFT FOODS</t>
  </si>
  <si>
    <t>LABORATORIOS DIRAL SRL</t>
  </si>
  <si>
    <t>OMRON</t>
  </si>
  <si>
    <t>STELLA</t>
  </si>
  <si>
    <t>Perfumería</t>
  </si>
  <si>
    <t>ID ajuste +</t>
  </si>
  <si>
    <t>Monto Ajuste +</t>
  </si>
  <si>
    <t xml:space="preserve">ID ajuste - </t>
  </si>
  <si>
    <t>Monto Ajuste -</t>
  </si>
  <si>
    <t>francelab</t>
  </si>
  <si>
    <t>novoplos</t>
  </si>
  <si>
    <t>eczane</t>
  </si>
  <si>
    <t>provefarma</t>
  </si>
  <si>
    <t>nolter</t>
  </si>
  <si>
    <t>sanitas</t>
  </si>
  <si>
    <t>beta</t>
  </si>
  <si>
    <t xml:space="preserve">Total + </t>
  </si>
  <si>
    <t>Total -</t>
  </si>
  <si>
    <t>Ajuste Neto: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</si>
</sst>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0_ ;[Red]\-0\ 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theme="1"/>
      <name val="Tahoma"/>
      <family val="2"/>
    </font>
    <font>
      <sz val="15"/>
      <color theme="1"/>
      <name val="Tahoma"/>
      <family val="2"/>
    </font>
    <font>
      <sz val="4"/>
      <color theme="0"/>
      <name val="Tahoma"/>
      <family val="2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sz val="12"/>
      <color theme="0"/>
      <name val="Tahoma"/>
      <family val="2"/>
    </font>
    <font>
      <sz val="11"/>
      <color rgb="FF000000"/>
      <name val="Tahoma"/>
      <family val="2"/>
      <charset val="1"/>
    </font>
    <font>
      <sz val="12"/>
      <color rgb="FF000000"/>
      <name val="Tahoma"/>
      <family val="2"/>
      <charset val="1"/>
    </font>
    <font>
      <b/>
      <sz val="15"/>
      <color theme="0"/>
      <name val="Tahoma"/>
      <family val="2"/>
    </font>
    <font>
      <b/>
      <sz val="12"/>
      <color theme="0"/>
      <name val="Tahoma"/>
      <family val="2"/>
    </font>
    <font>
      <sz val="8"/>
      <color theme="0"/>
      <name val="Tahoma"/>
      <family val="2"/>
    </font>
    <font>
      <sz val="9"/>
      <color theme="0"/>
      <name val="Tahoma"/>
      <family val="2"/>
    </font>
    <font>
      <b/>
      <sz val="14"/>
      <color theme="0"/>
      <name val="Tahoma"/>
      <family val="2"/>
    </font>
    <font>
      <b/>
      <sz val="14"/>
      <color theme="1"/>
      <name val="Aptos Narrow"/>
      <family val="2"/>
      <scheme val="minor"/>
    </font>
    <font>
      <b/>
      <sz val="16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8"/>
      <color rgb="FF000000"/>
      <name val="Aptos Narrow"/>
      <family val="2"/>
      <scheme val="minor"/>
    </font>
    <font>
      <sz val="12"/>
      <color rgb="FFFF0000"/>
      <name val="Tahoma"/>
      <family val="2"/>
    </font>
    <font>
      <sz val="16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6" tint="0.79998168889431442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D93D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6" tint="0.39997558519241921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rgb="FF000000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3">
    <xf numFmtId="0" fontId="0" fillId="0" borderId="0" xfId="0"/>
    <xf numFmtId="0" fontId="5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Protection="1">
      <protection locked="0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8" fillId="0" borderId="1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14" fontId="9" fillId="0" borderId="1" xfId="0" applyNumberFormat="1" applyFont="1" applyBorder="1" applyAlignment="1" applyProtection="1">
      <alignment horizontal="center" vertical="center"/>
      <protection locked="0"/>
    </xf>
    <xf numFmtId="14" fontId="5" fillId="0" borderId="1" xfId="0" applyNumberFormat="1" applyFont="1" applyBorder="1" applyProtection="1">
      <protection locked="0"/>
    </xf>
    <xf numFmtId="14" fontId="5" fillId="0" borderId="1" xfId="0" applyNumberFormat="1" applyFont="1" applyBorder="1" applyAlignment="1" applyProtection="1">
      <alignment horizontal="center"/>
      <protection locked="0"/>
    </xf>
    <xf numFmtId="0" fontId="17" fillId="0" borderId="0" xfId="0" applyFont="1"/>
    <xf numFmtId="0" fontId="18" fillId="3" borderId="20" xfId="0" applyFont="1" applyFill="1" applyBorder="1" applyAlignment="1">
      <alignment horizontal="center"/>
    </xf>
    <xf numFmtId="0" fontId="18" fillId="3" borderId="21" xfId="0" applyFont="1" applyFill="1" applyBorder="1" applyAlignment="1">
      <alignment horizontal="center"/>
    </xf>
    <xf numFmtId="0" fontId="17" fillId="0" borderId="14" xfId="0" applyFont="1" applyBorder="1" applyAlignment="1" applyProtection="1">
      <alignment horizontal="center"/>
      <protection locked="0"/>
    </xf>
    <xf numFmtId="44" fontId="17" fillId="0" borderId="14" xfId="2" applyFont="1" applyBorder="1" applyAlignment="1" applyProtection="1">
      <alignment horizontal="center"/>
      <protection locked="0"/>
    </xf>
    <xf numFmtId="44" fontId="17" fillId="0" borderId="14" xfId="2" applyFont="1" applyBorder="1" applyProtection="1">
      <protection locked="0"/>
    </xf>
    <xf numFmtId="0" fontId="17" fillId="0" borderId="14" xfId="0" applyFont="1" applyBorder="1" applyProtection="1">
      <protection locked="0"/>
    </xf>
    <xf numFmtId="0" fontId="17" fillId="0" borderId="15" xfId="0" applyFont="1" applyBorder="1" applyProtection="1">
      <protection locked="0"/>
    </xf>
    <xf numFmtId="44" fontId="17" fillId="0" borderId="15" xfId="2" applyFont="1" applyBorder="1" applyProtection="1">
      <protection locked="0"/>
    </xf>
    <xf numFmtId="0" fontId="0" fillId="5" borderId="1" xfId="0" applyFill="1" applyBorder="1" applyProtection="1">
      <protection locked="0"/>
    </xf>
    <xf numFmtId="9" fontId="6" fillId="0" borderId="0" xfId="1" applyFont="1" applyBorder="1" applyAlignment="1" applyProtection="1">
      <alignment horizontal="center" vertical="center"/>
    </xf>
    <xf numFmtId="44" fontId="5" fillId="0" borderId="1" xfId="2" applyFont="1" applyBorder="1" applyAlignment="1" applyProtection="1">
      <alignment horizontal="center"/>
    </xf>
    <xf numFmtId="9" fontId="5" fillId="0" borderId="1" xfId="1" applyFont="1" applyBorder="1" applyAlignment="1" applyProtection="1">
      <alignment horizontal="center"/>
    </xf>
    <xf numFmtId="14" fontId="5" fillId="0" borderId="0" xfId="1" applyNumberFormat="1" applyFont="1" applyAlignment="1" applyProtection="1">
      <alignment horizontal="center" vertical="center"/>
    </xf>
    <xf numFmtId="44" fontId="5" fillId="0" borderId="1" xfId="2" applyFont="1" applyBorder="1" applyAlignment="1" applyProtection="1">
      <alignment horizontal="center" vertical="center"/>
    </xf>
    <xf numFmtId="44" fontId="5" fillId="0" borderId="1" xfId="2" applyFont="1" applyBorder="1" applyProtection="1"/>
    <xf numFmtId="0" fontId="3" fillId="0" borderId="0" xfId="0" applyFont="1"/>
    <xf numFmtId="14" fontId="3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9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44" fontId="3" fillId="0" borderId="1" xfId="1" applyNumberFormat="1" applyFont="1" applyBorder="1" applyAlignment="1" applyProtection="1">
      <alignment horizontal="center"/>
    </xf>
    <xf numFmtId="9" fontId="5" fillId="0" borderId="0" xfId="1" applyFont="1" applyBorder="1" applyAlignment="1" applyProtection="1">
      <alignment horizontal="center" vertical="center"/>
    </xf>
    <xf numFmtId="44" fontId="18" fillId="3" borderId="19" xfId="2" applyFont="1" applyFill="1" applyBorder="1" applyAlignment="1">
      <alignment horizontal="left"/>
    </xf>
    <xf numFmtId="44" fontId="0" fillId="0" borderId="0" xfId="2" applyFont="1"/>
    <xf numFmtId="44" fontId="18" fillId="3" borderId="17" xfId="2" applyFont="1" applyFill="1" applyBorder="1" applyAlignment="1">
      <alignment horizontal="left"/>
    </xf>
    <xf numFmtId="0" fontId="18" fillId="4" borderId="15" xfId="0" applyFont="1" applyFill="1" applyBorder="1"/>
    <xf numFmtId="0" fontId="18" fillId="4" borderId="14" xfId="2" applyNumberFormat="1" applyFont="1" applyFill="1" applyBorder="1"/>
    <xf numFmtId="14" fontId="8" fillId="0" borderId="1" xfId="0" applyNumberFormat="1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14" fontId="5" fillId="0" borderId="0" xfId="0" applyNumberFormat="1" applyFont="1"/>
    <xf numFmtId="0" fontId="12" fillId="0" borderId="1" xfId="0" applyFont="1" applyBorder="1" applyAlignment="1">
      <alignment horizontal="left" vertical="center" indent="2"/>
    </xf>
    <xf numFmtId="0" fontId="13" fillId="0" borderId="1" xfId="0" applyFont="1" applyBorder="1" applyAlignment="1">
      <alignment horizontal="center"/>
    </xf>
    <xf numFmtId="0" fontId="18" fillId="4" borderId="14" xfId="0" applyFont="1" applyFill="1" applyBorder="1" applyAlignment="1">
      <alignment horizontal="center" vertical="center"/>
    </xf>
    <xf numFmtId="0" fontId="20" fillId="0" borderId="1" xfId="0" applyFont="1" applyBorder="1" applyAlignment="1" applyProtection="1">
      <alignment horizontal="center"/>
      <protection locked="0"/>
    </xf>
    <xf numFmtId="0" fontId="20" fillId="0" borderId="1" xfId="0" applyFont="1" applyBorder="1" applyAlignment="1" applyProtection="1">
      <alignment horizontal="center" vertical="center"/>
      <protection locked="0"/>
    </xf>
    <xf numFmtId="0" fontId="11" fillId="7" borderId="1" xfId="0" applyFont="1" applyFill="1" applyBorder="1" applyAlignment="1">
      <alignment horizontal="center" vertical="center"/>
    </xf>
    <xf numFmtId="14" fontId="11" fillId="7" borderId="1" xfId="0" applyNumberFormat="1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/>
    </xf>
    <xf numFmtId="0" fontId="7" fillId="7" borderId="1" xfId="0" applyFont="1" applyFill="1" applyBorder="1" applyAlignment="1">
      <alignment horizontal="center"/>
    </xf>
    <xf numFmtId="44" fontId="11" fillId="7" borderId="1" xfId="2" applyFont="1" applyFill="1" applyBorder="1" applyAlignment="1" applyProtection="1">
      <alignment horizontal="center"/>
    </xf>
    <xf numFmtId="164" fontId="11" fillId="7" borderId="1" xfId="0" applyNumberFormat="1" applyFont="1" applyFill="1" applyBorder="1" applyAlignment="1">
      <alignment horizontal="center"/>
    </xf>
    <xf numFmtId="9" fontId="7" fillId="7" borderId="1" xfId="1" applyFont="1" applyFill="1" applyBorder="1" applyAlignment="1" applyProtection="1">
      <alignment horizontal="center"/>
    </xf>
    <xf numFmtId="0" fontId="6" fillId="8" borderId="1" xfId="0" applyFont="1" applyFill="1" applyBorder="1" applyAlignment="1">
      <alignment horizontal="center"/>
    </xf>
    <xf numFmtId="14" fontId="11" fillId="7" borderId="1" xfId="0" applyNumberFormat="1" applyFont="1" applyFill="1" applyBorder="1" applyAlignment="1">
      <alignment horizontal="center"/>
    </xf>
    <xf numFmtId="9" fontId="7" fillId="7" borderId="1" xfId="0" applyNumberFormat="1" applyFont="1" applyFill="1" applyBorder="1" applyAlignment="1">
      <alignment horizontal="center"/>
    </xf>
    <xf numFmtId="0" fontId="10" fillId="7" borderId="1" xfId="0" applyFont="1" applyFill="1" applyBorder="1"/>
    <xf numFmtId="0" fontId="10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/>
    </xf>
    <xf numFmtId="9" fontId="10" fillId="7" borderId="1" xfId="0" applyNumberFormat="1" applyFont="1" applyFill="1" applyBorder="1" applyAlignment="1">
      <alignment horizontal="center" vertical="center"/>
    </xf>
    <xf numFmtId="164" fontId="10" fillId="7" borderId="1" xfId="0" applyNumberFormat="1" applyFont="1" applyFill="1" applyBorder="1" applyAlignment="1">
      <alignment horizontal="center"/>
    </xf>
    <xf numFmtId="44" fontId="10" fillId="7" borderId="1" xfId="2" applyFont="1" applyFill="1" applyBorder="1" applyAlignment="1" applyProtection="1">
      <alignment horizontal="center"/>
    </xf>
    <xf numFmtId="9" fontId="0" fillId="0" borderId="0" xfId="0" applyNumberFormat="1"/>
    <xf numFmtId="14" fontId="3" fillId="0" borderId="1" xfId="0" applyNumberFormat="1" applyFont="1" applyBorder="1" applyAlignment="1" applyProtection="1">
      <alignment horizontal="center"/>
      <protection locked="0"/>
    </xf>
    <xf numFmtId="0" fontId="21" fillId="0" borderId="0" xfId="0" applyFont="1" applyAlignment="1">
      <alignment horizontal="center" vertical="center"/>
    </xf>
    <xf numFmtId="49" fontId="0" fillId="0" borderId="0" xfId="0" applyNumberFormat="1"/>
    <xf numFmtId="2" fontId="0" fillId="0" borderId="0" xfId="0" applyNumberFormat="1"/>
    <xf numFmtId="0" fontId="23" fillId="0" borderId="0" xfId="0" applyFont="1" applyAlignment="1">
      <alignment horizontal="left" vertical="center"/>
    </xf>
    <xf numFmtId="0" fontId="25" fillId="0" borderId="0" xfId="0" applyFont="1" applyAlignment="1">
      <alignment horizontal="right" vertical="center"/>
    </xf>
    <xf numFmtId="0" fontId="18" fillId="4" borderId="14" xfId="0" applyFont="1" applyFill="1" applyBorder="1" applyAlignment="1">
      <alignment horizontal="center"/>
    </xf>
    <xf numFmtId="0" fontId="17" fillId="0" borderId="16" xfId="0" applyFont="1" applyBorder="1" applyAlignment="1" applyProtection="1">
      <alignment horizontal="center"/>
      <protection locked="0"/>
    </xf>
    <xf numFmtId="0" fontId="17" fillId="0" borderId="16" xfId="0" applyFont="1" applyBorder="1" applyProtection="1">
      <protection locked="0"/>
    </xf>
    <xf numFmtId="0" fontId="17" fillId="0" borderId="17" xfId="0" applyFont="1" applyBorder="1" applyProtection="1">
      <protection locked="0"/>
    </xf>
    <xf numFmtId="0" fontId="18" fillId="3" borderId="19" xfId="0" applyFont="1" applyFill="1" applyBorder="1" applyAlignment="1">
      <alignment horizontal="center"/>
    </xf>
    <xf numFmtId="0" fontId="5" fillId="0" borderId="0" xfId="0" applyFont="1" applyAlignment="1" applyProtection="1">
      <alignment horizontal="center"/>
      <protection locked="0"/>
    </xf>
    <xf numFmtId="49" fontId="3" fillId="0" borderId="22" xfId="0" applyNumberFormat="1" applyFont="1" applyBorder="1" applyAlignment="1" applyProtection="1">
      <alignment horizontal="left"/>
      <protection locked="0"/>
    </xf>
    <xf numFmtId="49" fontId="3" fillId="0" borderId="23" xfId="0" applyNumberFormat="1" applyFont="1" applyBorder="1" applyAlignment="1" applyProtection="1">
      <alignment horizontal="left"/>
      <protection locked="0"/>
    </xf>
    <xf numFmtId="0" fontId="2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24" fillId="10" borderId="24" xfId="0" applyFont="1" applyFill="1" applyBorder="1" applyAlignment="1">
      <alignment horizontal="center"/>
    </xf>
    <xf numFmtId="0" fontId="24" fillId="10" borderId="25" xfId="0" applyFont="1" applyFill="1" applyBorder="1" applyAlignment="1">
      <alignment horizontal="center"/>
    </xf>
    <xf numFmtId="0" fontId="24" fillId="10" borderId="26" xfId="0" applyFont="1" applyFill="1" applyBorder="1" applyAlignment="1">
      <alignment horizontal="center"/>
    </xf>
    <xf numFmtId="0" fontId="23" fillId="11" borderId="5" xfId="0" applyFont="1" applyFill="1" applyBorder="1" applyAlignment="1">
      <alignment horizontal="left" vertical="top" wrapText="1"/>
    </xf>
    <xf numFmtId="0" fontId="23" fillId="11" borderId="0" xfId="0" applyFont="1" applyFill="1" applyAlignment="1">
      <alignment horizontal="left" vertical="top" wrapText="1"/>
    </xf>
    <xf numFmtId="0" fontId="23" fillId="11" borderId="6" xfId="0" applyFont="1" applyFill="1" applyBorder="1" applyAlignment="1">
      <alignment horizontal="left" vertical="top" wrapText="1"/>
    </xf>
    <xf numFmtId="0" fontId="23" fillId="11" borderId="7" xfId="0" applyFont="1" applyFill="1" applyBorder="1" applyAlignment="1">
      <alignment horizontal="left" vertical="top" wrapText="1"/>
    </xf>
    <xf numFmtId="0" fontId="23" fillId="11" borderId="8" xfId="0" applyFont="1" applyFill="1" applyBorder="1" applyAlignment="1">
      <alignment horizontal="left" vertical="top" wrapText="1"/>
    </xf>
    <xf numFmtId="0" fontId="23" fillId="11" borderId="9" xfId="0" applyFont="1" applyFill="1" applyBorder="1" applyAlignment="1">
      <alignment horizontal="left" vertical="top" wrapText="1"/>
    </xf>
    <xf numFmtId="0" fontId="23" fillId="5" borderId="5" xfId="0" applyFont="1" applyFill="1" applyBorder="1" applyAlignment="1" applyProtection="1">
      <alignment horizontal="left" vertical="top" wrapText="1"/>
      <protection locked="0"/>
    </xf>
    <xf numFmtId="0" fontId="23" fillId="5" borderId="0" xfId="0" applyFont="1" applyFill="1" applyAlignment="1" applyProtection="1">
      <alignment horizontal="left" vertical="top" wrapText="1"/>
      <protection locked="0"/>
    </xf>
    <xf numFmtId="0" fontId="23" fillId="5" borderId="6" xfId="0" applyFont="1" applyFill="1" applyBorder="1" applyAlignment="1" applyProtection="1">
      <alignment horizontal="left" vertical="top" wrapText="1"/>
      <protection locked="0"/>
    </xf>
    <xf numFmtId="0" fontId="23" fillId="5" borderId="7" xfId="0" applyFont="1" applyFill="1" applyBorder="1" applyAlignment="1" applyProtection="1">
      <alignment horizontal="left" vertical="top" wrapText="1"/>
      <protection locked="0"/>
    </xf>
    <xf numFmtId="0" fontId="23" fillId="5" borderId="8" xfId="0" applyFont="1" applyFill="1" applyBorder="1" applyAlignment="1" applyProtection="1">
      <alignment horizontal="left" vertical="top" wrapText="1"/>
      <protection locked="0"/>
    </xf>
    <xf numFmtId="0" fontId="23" fillId="5" borderId="9" xfId="0" applyFont="1" applyFill="1" applyBorder="1" applyAlignment="1" applyProtection="1">
      <alignment horizontal="left" vertical="top" wrapText="1"/>
      <protection locked="0"/>
    </xf>
    <xf numFmtId="0" fontId="24" fillId="7" borderId="24" xfId="0" applyFont="1" applyFill="1" applyBorder="1" applyAlignment="1">
      <alignment horizontal="center"/>
    </xf>
    <xf numFmtId="0" fontId="24" fillId="7" borderId="25" xfId="0" applyFont="1" applyFill="1" applyBorder="1" applyAlignment="1">
      <alignment horizontal="center"/>
    </xf>
    <xf numFmtId="0" fontId="24" fillId="7" borderId="26" xfId="0" applyFont="1" applyFill="1" applyBorder="1" applyAlignment="1">
      <alignment horizontal="center"/>
    </xf>
    <xf numFmtId="0" fontId="14" fillId="7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 applyProtection="1">
      <alignment horizontal="center"/>
    </xf>
    <xf numFmtId="0" fontId="0" fillId="0" borderId="1" xfId="1" applyNumberFormat="1" applyFont="1" applyBorder="1" applyAlignment="1" applyProtection="1">
      <alignment horizontal="center"/>
    </xf>
    <xf numFmtId="9" fontId="6" fillId="0" borderId="2" xfId="1" applyFont="1" applyBorder="1" applyAlignment="1" applyProtection="1">
      <alignment horizontal="center" vertical="center"/>
    </xf>
    <xf numFmtId="9" fontId="6" fillId="0" borderId="3" xfId="1" applyFont="1" applyBorder="1" applyAlignment="1" applyProtection="1">
      <alignment horizontal="center" vertical="center"/>
    </xf>
    <xf numFmtId="9" fontId="6" fillId="0" borderId="4" xfId="1" applyFont="1" applyBorder="1" applyAlignment="1" applyProtection="1">
      <alignment horizontal="center" vertical="center"/>
    </xf>
    <xf numFmtId="9" fontId="6" fillId="0" borderId="5" xfId="1" applyFont="1" applyBorder="1" applyAlignment="1" applyProtection="1">
      <alignment horizontal="center" vertical="center"/>
    </xf>
    <xf numFmtId="9" fontId="6" fillId="0" borderId="0" xfId="1" applyFont="1" applyAlignment="1" applyProtection="1">
      <alignment horizontal="center" vertical="center"/>
    </xf>
    <xf numFmtId="9" fontId="6" fillId="0" borderId="6" xfId="1" applyFont="1" applyBorder="1" applyAlignment="1" applyProtection="1">
      <alignment horizontal="center" vertical="center"/>
    </xf>
    <xf numFmtId="9" fontId="6" fillId="0" borderId="7" xfId="1" applyFont="1" applyBorder="1" applyAlignment="1" applyProtection="1">
      <alignment horizontal="center" vertical="center"/>
    </xf>
    <xf numFmtId="9" fontId="6" fillId="0" borderId="8" xfId="1" applyFont="1" applyBorder="1" applyAlignment="1" applyProtection="1">
      <alignment horizontal="center" vertical="center"/>
    </xf>
    <xf numFmtId="9" fontId="6" fillId="0" borderId="9" xfId="1" applyFont="1" applyBorder="1" applyAlignment="1" applyProtection="1">
      <alignment horizontal="center" vertical="center"/>
    </xf>
    <xf numFmtId="0" fontId="2" fillId="9" borderId="10" xfId="0" applyFont="1" applyFill="1" applyBorder="1" applyAlignment="1">
      <alignment horizontal="center" vertical="center" wrapText="1"/>
    </xf>
    <xf numFmtId="0" fontId="2" fillId="9" borderId="11" xfId="0" applyFont="1" applyFill="1" applyBorder="1" applyAlignment="1">
      <alignment horizontal="center" vertical="center" wrapText="1"/>
    </xf>
    <xf numFmtId="0" fontId="2" fillId="9" borderId="12" xfId="0" applyFont="1" applyFill="1" applyBorder="1" applyAlignment="1">
      <alignment horizontal="center" vertical="center" wrapText="1"/>
    </xf>
    <xf numFmtId="0" fontId="2" fillId="9" borderId="13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9" fontId="5" fillId="0" borderId="2" xfId="1" applyFont="1" applyBorder="1" applyAlignment="1" applyProtection="1">
      <alignment horizontal="center" vertical="center"/>
    </xf>
    <xf numFmtId="9" fontId="5" fillId="0" borderId="3" xfId="1" applyFont="1" applyBorder="1" applyAlignment="1" applyProtection="1">
      <alignment horizontal="center" vertical="center"/>
    </xf>
    <xf numFmtId="9" fontId="5" fillId="0" borderId="4" xfId="1" applyFont="1" applyBorder="1" applyAlignment="1" applyProtection="1">
      <alignment horizontal="center" vertical="center"/>
    </xf>
    <xf numFmtId="9" fontId="5" fillId="0" borderId="5" xfId="1" applyFont="1" applyBorder="1" applyAlignment="1" applyProtection="1">
      <alignment horizontal="center" vertical="center"/>
    </xf>
    <xf numFmtId="9" fontId="5" fillId="0" borderId="0" xfId="1" applyFont="1" applyAlignment="1" applyProtection="1">
      <alignment horizontal="center" vertical="center"/>
    </xf>
    <xf numFmtId="9" fontId="5" fillId="0" borderId="6" xfId="1" applyFont="1" applyBorder="1" applyAlignment="1" applyProtection="1">
      <alignment horizontal="center" vertical="center"/>
    </xf>
    <xf numFmtId="9" fontId="5" fillId="0" borderId="7" xfId="1" applyFont="1" applyBorder="1" applyAlignment="1" applyProtection="1">
      <alignment horizontal="center" vertical="center"/>
    </xf>
    <xf numFmtId="9" fontId="5" fillId="0" borderId="8" xfId="1" applyFont="1" applyBorder="1" applyAlignment="1" applyProtection="1">
      <alignment horizontal="center" vertical="center"/>
    </xf>
    <xf numFmtId="9" fontId="5" fillId="0" borderId="9" xfId="1" applyFont="1" applyBorder="1" applyAlignment="1" applyProtection="1">
      <alignment horizontal="center" vertical="center"/>
    </xf>
    <xf numFmtId="0" fontId="2" fillId="9" borderId="10" xfId="0" applyFont="1" applyFill="1" applyBorder="1" applyAlignment="1">
      <alignment horizontal="center" wrapText="1"/>
    </xf>
    <xf numFmtId="0" fontId="2" fillId="9" borderId="11" xfId="0" applyFont="1" applyFill="1" applyBorder="1" applyAlignment="1">
      <alignment horizontal="center" wrapText="1"/>
    </xf>
    <xf numFmtId="0" fontId="2" fillId="9" borderId="12" xfId="0" applyFont="1" applyFill="1" applyBorder="1" applyAlignment="1">
      <alignment horizontal="center" wrapText="1"/>
    </xf>
    <xf numFmtId="0" fontId="2" fillId="9" borderId="13" xfId="0" applyFont="1" applyFill="1" applyBorder="1" applyAlignment="1">
      <alignment horizontal="center" wrapText="1"/>
    </xf>
    <xf numFmtId="0" fontId="16" fillId="2" borderId="0" xfId="0" applyFont="1" applyFill="1" applyAlignment="1">
      <alignment horizontal="center" vertical="center"/>
    </xf>
    <xf numFmtId="0" fontId="16" fillId="2" borderId="18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left" vertical="center" indent="14"/>
    </xf>
    <xf numFmtId="0" fontId="19" fillId="6" borderId="3" xfId="0" applyFont="1" applyFill="1" applyBorder="1" applyAlignment="1">
      <alignment horizontal="left" vertical="center" indent="14"/>
    </xf>
    <xf numFmtId="0" fontId="19" fillId="6" borderId="7" xfId="0" applyFont="1" applyFill="1" applyBorder="1" applyAlignment="1">
      <alignment horizontal="left" vertical="center" indent="14"/>
    </xf>
    <xf numFmtId="0" fontId="19" fillId="6" borderId="8" xfId="0" applyFont="1" applyFill="1" applyBorder="1" applyAlignment="1">
      <alignment horizontal="left" vertical="center" indent="14"/>
    </xf>
    <xf numFmtId="8" fontId="19" fillId="6" borderId="3" xfId="0" applyNumberFormat="1" applyFont="1" applyFill="1" applyBorder="1" applyAlignment="1">
      <alignment horizontal="left" vertical="center"/>
    </xf>
    <xf numFmtId="8" fontId="19" fillId="6" borderId="4" xfId="0" applyNumberFormat="1" applyFont="1" applyFill="1" applyBorder="1" applyAlignment="1">
      <alignment horizontal="left" vertical="center"/>
    </xf>
    <xf numFmtId="8" fontId="19" fillId="6" borderId="8" xfId="0" applyNumberFormat="1" applyFont="1" applyFill="1" applyBorder="1" applyAlignment="1">
      <alignment horizontal="left" vertical="center"/>
    </xf>
    <xf numFmtId="8" fontId="19" fillId="6" borderId="9" xfId="0" applyNumberFormat="1" applyFont="1" applyFill="1" applyBorder="1" applyAlignment="1">
      <alignment horizontal="left" vertical="center"/>
    </xf>
  </cellXfs>
  <cellStyles count="3">
    <cellStyle name="Moneda" xfId="2" builtinId="4"/>
    <cellStyle name="Normal" xfId="0" builtinId="0"/>
    <cellStyle name="Porcentaje" xfId="1" builtinId="5"/>
  </cellStyles>
  <dxfs count="24"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 val="0"/>
        <i val="0"/>
        <color rgb="FFFF0000"/>
      </font>
    </dxf>
    <dxf>
      <font>
        <b/>
        <i val="0"/>
        <color rgb="FFFF0000"/>
      </font>
      <fill>
        <patternFill>
          <bgColor theme="5" tint="0.59996337778862885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color rgb="FFFF0000"/>
      </font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b/>
        <i val="0"/>
        <color rgb="FFFFC000"/>
      </font>
      <fill>
        <patternFill patternType="solid">
          <fgColor rgb="FFFFFF66"/>
          <bgColor rgb="FFFFFF99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color rgb="FFFF0000"/>
      </font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b/>
        <i val="0"/>
        <color rgb="FFFFC000"/>
      </font>
      <fill>
        <patternFill patternType="solid">
          <fgColor rgb="FFFFFF66"/>
          <bgColor rgb="FFFFFF99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b val="0"/>
        <i val="0"/>
        <color rgb="FFFF0000"/>
      </font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b/>
        <i val="0"/>
        <color rgb="FFFFC000"/>
      </font>
      <fill>
        <patternFill patternType="solid">
          <fgColor rgb="FFFFFF66"/>
          <bgColor rgb="FFFFFF99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ont>
        <color rgb="FFFF0000"/>
      </font>
    </dxf>
    <dxf>
      <font>
        <b/>
        <i val="0"/>
        <color rgb="FFFF0000"/>
      </font>
      <fill>
        <patternFill>
          <bgColor theme="5" tint="0.39994506668294322"/>
        </patternFill>
      </fill>
    </dxf>
    <dxf>
      <font>
        <b/>
        <i val="0"/>
        <color rgb="FFFFC000"/>
      </font>
      <fill>
        <patternFill patternType="solid">
          <fgColor rgb="FFFFFF66"/>
          <bgColor rgb="FFFFFF99"/>
        </patternFill>
      </fill>
    </dxf>
    <dxf>
      <font>
        <b/>
        <i val="0"/>
        <color rgb="FFFF0000"/>
      </font>
      <fill>
        <patternFill>
          <bgColor theme="5" tint="0.59996337778862885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</border>
    </dxf>
    <dxf>
      <font>
        <color rgb="FFFF0000"/>
      </font>
    </dxf>
    <dxf>
      <font>
        <b/>
        <i val="0"/>
        <color rgb="FFFF0000"/>
      </font>
      <fill>
        <patternFill>
          <bgColor theme="5" tint="0.59996337778862885"/>
        </patternFill>
      </fill>
    </dxf>
    <dxf>
      <font>
        <b/>
        <i val="0"/>
      </font>
      <fill>
        <patternFill>
          <bgColor theme="4" tint="0.79998168889431442"/>
        </patternFill>
      </fill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FF99"/>
      <color rgb="FFFFFF66"/>
      <color rgb="FFFF5050"/>
      <color rgb="FF26E6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666750</xdr:colOff>
      <xdr:row>1</xdr:row>
      <xdr:rowOff>57150</xdr:rowOff>
    </xdr:from>
    <xdr:to>
      <xdr:col>7</xdr:col>
      <xdr:colOff>234950</xdr:colOff>
      <xdr:row>13</xdr:row>
      <xdr:rowOff>222250</xdr:rowOff>
    </xdr:to>
    <xdr:sp macro="" textlink="">
      <xdr:nvSpPr>
        <xdr:cNvPr id="5" name="Rectángulo: esquinas redondeadas 1">
          <a:extLst>
            <a:ext uri="{FF2B5EF4-FFF2-40B4-BE49-F238E27FC236}">
              <a16:creationId xmlns:a16="http://schemas.microsoft.com/office/drawing/2014/main" id="{DD9117DF-0220-0CAF-59A1-DEECF514A15F}"/>
            </a:ext>
          </a:extLst>
        </xdr:cNvPr>
        <xdr:cNvSpPr/>
      </xdr:nvSpPr>
      <xdr:spPr>
        <a:xfrm>
          <a:off x="666750" y="298450"/>
          <a:ext cx="9283700" cy="3060700"/>
        </a:xfrm>
        <a:prstGeom prst="roundRect">
          <a:avLst/>
        </a:prstGeom>
        <a:noFill/>
        <a:ln w="38100">
          <a:solidFill>
            <a:schemeClr val="tx2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 editAs="absolute">
    <xdr:from>
      <xdr:col>2</xdr:col>
      <xdr:colOff>444500</xdr:colOff>
      <xdr:row>0</xdr:row>
      <xdr:rowOff>19050</xdr:rowOff>
    </xdr:from>
    <xdr:to>
      <xdr:col>3</xdr:col>
      <xdr:colOff>850900</xdr:colOff>
      <xdr:row>0</xdr:row>
      <xdr:rowOff>266700</xdr:rowOff>
    </xdr:to>
    <xdr:sp macro="" textlink="">
      <xdr:nvSpPr>
        <xdr:cNvPr id="3" name="Rectángulo: esquinas redondeadas 2">
          <a:extLst>
            <a:ext uri="{FF2B5EF4-FFF2-40B4-BE49-F238E27FC236}">
              <a16:creationId xmlns:a16="http://schemas.microsoft.com/office/drawing/2014/main" id="{3E114E10-B6BC-E70A-A325-4039EA87EDE4}"/>
            </a:ext>
          </a:extLst>
        </xdr:cNvPr>
        <xdr:cNvSpPr/>
      </xdr:nvSpPr>
      <xdr:spPr>
        <a:xfrm>
          <a:off x="2971800" y="19050"/>
          <a:ext cx="1924050" cy="247650"/>
        </a:xfrm>
        <a:prstGeom prst="roundRect">
          <a:avLst/>
        </a:prstGeom>
        <a:noFill/>
        <a:ln w="9525">
          <a:solidFill>
            <a:schemeClr val="tx2">
              <a:lumMod val="50000"/>
              <a:lumOff val="5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armaciaazularg.sharepoint.com/sites/InventarioscclicosparaTiendas/Documentos%20compartidos/Monitor.xlsm" TargetMode="External"/><Relationship Id="rId1" Type="http://schemas.openxmlformats.org/officeDocument/2006/relationships/externalLinkPath" Target="/sites/InventarioscclicosparaTiendas/Documentos%20compartidos/Monitor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D9Uie-_agkqVx2U2BfDAlXGAqimiHIVCnGGEvjIwtQizpyjZrrO0SZgoOfj8HlOL" itemId="012NRUZEYUUIF2UN7MTVFIIIMH5ZTPXH3Y">
      <xxl21:absoluteUrl r:id="rId2"/>
    </xxl21:alternateUrls>
    <sheetNames>
      <sheetName val="Monitor"/>
      <sheetName val="Avisos_Mensajes"/>
      <sheetName val="Vueltas"/>
      <sheetName val="MailxZonal"/>
      <sheetName val="Registro_Accesos"/>
    </sheetNames>
    <sheetDataSet>
      <sheetData sheetId="0"/>
      <sheetData sheetId="1">
        <row r="1">
          <cell r="AF1">
            <v>45971</v>
          </cell>
        </row>
      </sheetData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C5E81-3D7F-4F15-AE4B-2D23AA1D6A7D}">
  <dimension ref="B1:Z27"/>
  <sheetViews>
    <sheetView showGridLines="0" tabSelected="1" zoomScaleNormal="100" workbookViewId="0">
      <selection activeCell="C5" sqref="C5"/>
    </sheetView>
  </sheetViews>
  <sheetFormatPr baseColWidth="10" defaultColWidth="11.453125" defaultRowHeight="14.5" x14ac:dyDescent="0.35"/>
  <cols>
    <col min="1" max="1" width="13.1796875" customWidth="1"/>
    <col min="2" max="2" width="23" bestFit="1" customWidth="1"/>
    <col min="3" max="3" width="21.7265625" bestFit="1" customWidth="1"/>
    <col min="4" max="4" width="28.7265625" bestFit="1" customWidth="1"/>
    <col min="5" max="5" width="19.1796875" customWidth="1"/>
    <col min="6" max="6" width="12.26953125" bestFit="1" customWidth="1"/>
    <col min="7" max="7" width="22.453125" bestFit="1" customWidth="1"/>
    <col min="8" max="8" width="14.453125" customWidth="1"/>
    <col min="9" max="9" width="23.81640625" bestFit="1" customWidth="1"/>
    <col min="13" max="13" width="11.453125" hidden="1" customWidth="1"/>
    <col min="24" max="24" width="11.453125" hidden="1" customWidth="1"/>
    <col min="25" max="25" width="11.453125" customWidth="1"/>
    <col min="26" max="26" width="11.453125" hidden="1" customWidth="1"/>
  </cols>
  <sheetData>
    <row r="1" spans="2:26" ht="22" customHeight="1" x14ac:dyDescent="0.35">
      <c r="C1" s="81" t="s">
        <v>0</v>
      </c>
      <c r="D1" s="80">
        <v>1150000071</v>
      </c>
      <c r="I1" s="91" t="str">
        <f>IF(I4&lt;&gt;"","¡ ADVERTENCIA !
Por favor eliminar el mensaje escrito una vez haya recibido la respuesta.","")</f>
        <v/>
      </c>
      <c r="J1" s="91"/>
      <c r="K1" s="91"/>
      <c r="L1" s="91"/>
    </row>
    <row r="2" spans="2:26" ht="21.65" customHeight="1" thickBot="1" x14ac:dyDescent="0.4">
      <c r="I2" s="92"/>
      <c r="J2" s="92"/>
      <c r="K2" s="92"/>
      <c r="L2" s="92"/>
      <c r="M2" t="s">
        <v>1</v>
      </c>
    </row>
    <row r="3" spans="2:26" ht="19" customHeight="1" thickBot="1" x14ac:dyDescent="0.45">
      <c r="B3" s="69" t="s">
        <v>2</v>
      </c>
      <c r="C3" s="88"/>
      <c r="D3" s="89"/>
      <c r="I3" s="108" t="s">
        <v>3</v>
      </c>
      <c r="J3" s="109"/>
      <c r="K3" s="109"/>
      <c r="L3" s="110"/>
      <c r="M3" s="75">
        <f ca="1">IF(AND(F5="",F6=""),"",N(F5)-N(F6))</f>
        <v>-0.31286680911680909</v>
      </c>
    </row>
    <row r="4" spans="2:26" ht="19" customHeight="1" x14ac:dyDescent="0.35">
      <c r="D4" s="26"/>
      <c r="E4" s="111" t="s">
        <v>4</v>
      </c>
      <c r="F4" s="111"/>
      <c r="G4" s="111"/>
      <c r="I4" s="102"/>
      <c r="J4" s="103"/>
      <c r="K4" s="103"/>
      <c r="L4" s="104"/>
      <c r="X4" t="s">
        <v>5</v>
      </c>
      <c r="Z4" t="s">
        <v>6</v>
      </c>
    </row>
    <row r="5" spans="2:26" ht="19" customHeight="1" x14ac:dyDescent="0.35">
      <c r="B5" s="69" t="s">
        <v>7</v>
      </c>
      <c r="C5" s="76">
        <v>45880</v>
      </c>
      <c r="D5" s="26"/>
      <c r="E5" s="28" t="str">
        <f ca="1">IF(Z5="","0 Dias de "&amp;M6,CONCATENATE(Z5," Dias de "&amp;M6))</f>
        <v>91 Dias de 150</v>
      </c>
      <c r="F5" s="112">
        <f ca="1">IF(C5="","",Z5/M6)</f>
        <v>0.60666666666666669</v>
      </c>
      <c r="G5" s="112"/>
      <c r="I5" s="102"/>
      <c r="J5" s="103"/>
      <c r="K5" s="103"/>
      <c r="L5" s="104"/>
      <c r="M5" t="s">
        <v>8</v>
      </c>
      <c r="X5" t="s">
        <v>9</v>
      </c>
      <c r="Z5">
        <f ca="1">IF(C5="","",C6-C5)</f>
        <v>91</v>
      </c>
    </row>
    <row r="6" spans="2:26" s="26" customFormat="1" ht="19" customHeight="1" x14ac:dyDescent="0.35">
      <c r="B6" s="69" t="s">
        <v>10</v>
      </c>
      <c r="C6" s="27">
        <f ca="1">TODAY()</f>
        <v>45971</v>
      </c>
      <c r="E6" s="28" t="s">
        <v>11</v>
      </c>
      <c r="F6" s="113">
        <f>C13</f>
        <v>0.91953347578347577</v>
      </c>
      <c r="G6" s="114"/>
      <c r="H6" s="29"/>
      <c r="I6" s="102"/>
      <c r="J6" s="103"/>
      <c r="K6" s="103"/>
      <c r="L6" s="104"/>
      <c r="M6" s="26">
        <v>150</v>
      </c>
      <c r="X6" t="s">
        <v>12</v>
      </c>
    </row>
    <row r="7" spans="2:26" s="26" customFormat="1" ht="19" customHeight="1" x14ac:dyDescent="0.35">
      <c r="H7" s="29"/>
      <c r="I7" s="102"/>
      <c r="J7" s="103"/>
      <c r="K7" s="103"/>
      <c r="L7" s="104"/>
    </row>
    <row r="8" spans="2:26" s="26" customFormat="1" ht="19" customHeight="1" thickBot="1" x14ac:dyDescent="0.4">
      <c r="B8" s="70" t="s">
        <v>13</v>
      </c>
      <c r="C8" s="70" t="s">
        <v>14</v>
      </c>
      <c r="D8" s="71" t="s">
        <v>15</v>
      </c>
      <c r="E8" s="71" t="s">
        <v>16</v>
      </c>
      <c r="F8" s="71" t="s">
        <v>17</v>
      </c>
      <c r="G8" s="71" t="s">
        <v>18</v>
      </c>
      <c r="I8" s="105"/>
      <c r="J8" s="106"/>
      <c r="K8" s="106"/>
      <c r="L8" s="107"/>
    </row>
    <row r="9" spans="2:26" s="26" customFormat="1" ht="19" customHeight="1" thickBot="1" x14ac:dyDescent="0.4">
      <c r="B9" s="30" t="s">
        <v>19</v>
      </c>
      <c r="C9" s="31">
        <f>Medicamentos!I155</f>
        <v>0.91851851851851851</v>
      </c>
      <c r="D9" s="30">
        <f>SUMIF(Medicamentos!I10:I154,"Si",Medicamentos!D10:D154)</f>
        <v>9714</v>
      </c>
      <c r="E9" s="30">
        <f>SUMIF(Medicamentos!I10:I154,"Si",Medicamentos!E10:E154)</f>
        <v>9606</v>
      </c>
      <c r="F9" s="32">
        <f>E9-D9</f>
        <v>-108</v>
      </c>
      <c r="G9" s="33">
        <f>SUMIF(Medicamentos!I10:I154,"Si",Medicamentos!F10:F154)</f>
        <v>-217534.38999999996</v>
      </c>
      <c r="I9" s="79"/>
      <c r="J9" s="79"/>
      <c r="K9" s="79"/>
      <c r="L9" s="79"/>
    </row>
    <row r="10" spans="2:26" s="26" customFormat="1" ht="19" customHeight="1" thickBot="1" x14ac:dyDescent="0.45">
      <c r="B10" s="30" t="s">
        <v>20</v>
      </c>
      <c r="C10" s="31">
        <f>Perfumería!I84</f>
        <v>1</v>
      </c>
      <c r="D10" s="30">
        <f>SUMIF(Perfumería!I10:I83,"Si",Perfumería!D10:D83)</f>
        <v>8600</v>
      </c>
      <c r="E10" s="30">
        <f>SUMIF(Perfumería!I10:I83,"Si",Perfumería!E10:E83)</f>
        <v>8509</v>
      </c>
      <c r="F10" s="32">
        <f>E10-D10</f>
        <v>-91</v>
      </c>
      <c r="G10" s="33">
        <f>SUMIF(Perfumería!I10:I83,"Si",Perfumería!F10:F83)</f>
        <v>-958277.64</v>
      </c>
      <c r="I10" s="93" t="s">
        <v>21</v>
      </c>
      <c r="J10" s="94"/>
      <c r="K10" s="94"/>
      <c r="L10" s="95"/>
    </row>
    <row r="11" spans="2:26" s="26" customFormat="1" ht="19" customHeight="1" x14ac:dyDescent="0.35">
      <c r="B11" s="30" t="s">
        <v>22</v>
      </c>
      <c r="C11" s="31">
        <f>Accesorios!I124</f>
        <v>0.99038461538461542</v>
      </c>
      <c r="D11" s="30">
        <f>SUMIF(Accesorios!I10:I123,"Si",Accesorios!D10:D123)</f>
        <v>2085</v>
      </c>
      <c r="E11" s="30">
        <f>SUMIF(Accesorios!I10:I123,"Si",Accesorios!E10:E123)</f>
        <v>1930</v>
      </c>
      <c r="F11" s="32">
        <f t="shared" ref="F11:F12" si="0">E11-D11</f>
        <v>-155</v>
      </c>
      <c r="G11" s="33">
        <f>SUMIF(Accesorios!I10:I123,"Si",Accesorios!F10:F123)</f>
        <v>-189296.57000000012</v>
      </c>
      <c r="I11" s="96" t="str">
        <f>IF([1]Avisos_Mensajes!$N$160="","",[1]Avisos_Mensajes!$N$160)</f>
        <v/>
      </c>
      <c r="J11" s="97"/>
      <c r="K11" s="97"/>
      <c r="L11" s="98"/>
    </row>
    <row r="12" spans="2:26" ht="19" customHeight="1" x14ac:dyDescent="0.35">
      <c r="B12" s="30" t="s">
        <v>23</v>
      </c>
      <c r="C12" s="31">
        <f>Varios!I46</f>
        <v>0.76923076923076927</v>
      </c>
      <c r="D12" s="30">
        <f>SUMIF(Varios!I10:I45,"Si",Varios!D10:D45)</f>
        <v>2973</v>
      </c>
      <c r="E12" s="30">
        <f>SUMIF(Varios!I10:I45,"Si",Varios!E10:E45)</f>
        <v>2464</v>
      </c>
      <c r="F12" s="32">
        <f t="shared" si="0"/>
        <v>-509</v>
      </c>
      <c r="G12" s="33">
        <f>SUMIF(Varios!I10:I45,"Si",Varios!F10:F45)</f>
        <v>-1268813.0800000003</v>
      </c>
      <c r="I12" s="96"/>
      <c r="J12" s="97"/>
      <c r="K12" s="97"/>
      <c r="L12" s="98"/>
    </row>
    <row r="13" spans="2:26" ht="19" customHeight="1" x14ac:dyDescent="0.35">
      <c r="B13" s="70" t="s">
        <v>24</v>
      </c>
      <c r="C13" s="72">
        <f>SUM(C9:C12)/4</f>
        <v>0.91953347578347577</v>
      </c>
      <c r="D13" s="71">
        <f>SUM(D9:D12)</f>
        <v>23372</v>
      </c>
      <c r="E13" s="71">
        <f>SUM(E9:E12)</f>
        <v>22509</v>
      </c>
      <c r="F13" s="73">
        <f>SUM(F9:F12)</f>
        <v>-863</v>
      </c>
      <c r="G13" s="74">
        <f>SUM(G9:G12)</f>
        <v>-2633921.6800000006</v>
      </c>
      <c r="I13" s="96"/>
      <c r="J13" s="97"/>
      <c r="K13" s="97"/>
      <c r="L13" s="98"/>
    </row>
    <row r="14" spans="2:26" ht="19" customHeight="1" x14ac:dyDescent="0.35">
      <c r="I14" s="96"/>
      <c r="J14" s="97"/>
      <c r="K14" s="97"/>
      <c r="L14" s="98"/>
    </row>
    <row r="15" spans="2:26" ht="19" customHeight="1" thickBot="1" x14ac:dyDescent="0.4">
      <c r="D15" s="77" t="str">
        <f>IF(B16="","","↓  Nuevo Aviso  ↓")</f>
        <v/>
      </c>
      <c r="I15" s="99"/>
      <c r="J15" s="100"/>
      <c r="K15" s="100"/>
      <c r="L15" s="101"/>
    </row>
    <row r="16" spans="2:26" ht="19" customHeight="1" x14ac:dyDescent="0.35">
      <c r="B16" s="90" t="str">
        <f>IF([1]Avisos_Mensajes!$B$5="","",IF(AND([1]Avisos_Mensajes!$B$5&lt;&gt;"",[1]Avisos_Mensajes!$AF$1&lt;[1]Avisos_Mensajes!$H$4),[1]Avisos_Mensajes!$B$5,""))</f>
        <v/>
      </c>
      <c r="C16" s="90"/>
      <c r="D16" s="90"/>
      <c r="E16" s="90"/>
      <c r="F16" s="90"/>
      <c r="G16" s="90"/>
    </row>
    <row r="17" spans="2:7" ht="19" customHeight="1" x14ac:dyDescent="0.35">
      <c r="B17" s="90"/>
      <c r="C17" s="90"/>
      <c r="D17" s="90"/>
      <c r="E17" s="90"/>
      <c r="F17" s="90"/>
      <c r="G17" s="90"/>
    </row>
    <row r="18" spans="2:7" x14ac:dyDescent="0.35">
      <c r="B18" s="90"/>
      <c r="C18" s="90"/>
      <c r="D18" s="90"/>
      <c r="E18" s="90"/>
      <c r="F18" s="90"/>
      <c r="G18" s="90"/>
    </row>
    <row r="19" spans="2:7" x14ac:dyDescent="0.35">
      <c r="B19" s="90"/>
      <c r="C19" s="90"/>
      <c r="D19" s="90"/>
      <c r="E19" s="90"/>
      <c r="F19" s="90"/>
      <c r="G19" s="90"/>
    </row>
    <row r="20" spans="2:7" x14ac:dyDescent="0.35">
      <c r="B20" s="90"/>
      <c r="C20" s="90"/>
      <c r="D20" s="90"/>
      <c r="E20" s="90"/>
      <c r="F20" s="90"/>
      <c r="G20" s="90"/>
    </row>
    <row r="21" spans="2:7" x14ac:dyDescent="0.35">
      <c r="B21" s="90"/>
      <c r="C21" s="90"/>
      <c r="D21" s="90"/>
      <c r="E21" s="90"/>
      <c r="F21" s="90"/>
      <c r="G21" s="90"/>
    </row>
    <row r="22" spans="2:7" x14ac:dyDescent="0.35">
      <c r="B22" s="90"/>
      <c r="C22" s="90"/>
      <c r="D22" s="90"/>
      <c r="E22" s="90"/>
      <c r="F22" s="90"/>
      <c r="G22" s="90"/>
    </row>
    <row r="23" spans="2:7" x14ac:dyDescent="0.35">
      <c r="B23" s="90"/>
      <c r="C23" s="90"/>
      <c r="D23" s="90"/>
      <c r="E23" s="90"/>
      <c r="F23" s="90"/>
      <c r="G23" s="90"/>
    </row>
    <row r="24" spans="2:7" x14ac:dyDescent="0.35">
      <c r="B24" s="90"/>
      <c r="C24" s="90"/>
      <c r="D24" s="90"/>
      <c r="E24" s="90"/>
      <c r="F24" s="90"/>
      <c r="G24" s="90"/>
    </row>
    <row r="25" spans="2:7" x14ac:dyDescent="0.35">
      <c r="B25" s="90"/>
      <c r="C25" s="90"/>
      <c r="D25" s="90"/>
      <c r="E25" s="90"/>
      <c r="F25" s="90"/>
      <c r="G25" s="90"/>
    </row>
    <row r="27" spans="2:7" x14ac:dyDescent="0.35">
      <c r="B27" s="78"/>
    </row>
  </sheetData>
  <sheetProtection algorithmName="SHA-512" hashValue="1rxrGdAIk/m1yid8mbVeHkZXc4vIkaRX4ejDXJDJ967ITP2I3Tesi7H4ZXTKwmwVPW/Sgc4y2t01x1vW8KLADg==" saltValue="smrXvCvyGrCVW6QBHZs/Ug==" spinCount="100000" sheet="1" selectLockedCells="1"/>
  <mergeCells count="10">
    <mergeCell ref="C3:D3"/>
    <mergeCell ref="B16:G25"/>
    <mergeCell ref="I1:L2"/>
    <mergeCell ref="I10:L10"/>
    <mergeCell ref="I11:L15"/>
    <mergeCell ref="I4:L8"/>
    <mergeCell ref="I3:L3"/>
    <mergeCell ref="E4:G4"/>
    <mergeCell ref="F5:G5"/>
    <mergeCell ref="F6:G6"/>
  </mergeCells>
  <conditionalFormatting sqref="B16:G25">
    <cfRule type="expression" dxfId="23" priority="2">
      <formula>(B16&lt;&gt;"")</formula>
    </cfRule>
  </conditionalFormatting>
  <conditionalFormatting sqref="D15">
    <cfRule type="expression" dxfId="22" priority="3">
      <formula>(D15&lt;&gt;"")</formula>
    </cfRule>
  </conditionalFormatting>
  <conditionalFormatting sqref="F5:G5">
    <cfRule type="dataBar" priority="7">
      <dataBar showValue="0"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{A661C9C6-50AD-4904-AD62-CE27632C42A2}</x14:id>
        </ext>
      </extLst>
    </cfRule>
  </conditionalFormatting>
  <conditionalFormatting sqref="F6:G6">
    <cfRule type="dataBar" priority="5">
      <dataBar showValue="0">
        <cfvo type="num" val="0"/>
        <cfvo type="num" val="1"/>
        <color rgb="FF638EC6"/>
      </dataBar>
      <extLst>
        <ext xmlns:x14="http://schemas.microsoft.com/office/spreadsheetml/2009/9/main" uri="{B025F937-C7B1-47D3-B67F-A62EFF666E3E}">
          <x14:id>{AC29BCC7-9DEA-42A0-ACB3-977ECF67217C}</x14:id>
        </ext>
      </extLst>
    </cfRule>
  </conditionalFormatting>
  <conditionalFormatting sqref="G9:G13">
    <cfRule type="cellIs" dxfId="21" priority="4" operator="lessThan">
      <formula>0</formula>
    </cfRule>
  </conditionalFormatting>
  <conditionalFormatting sqref="I1:L2">
    <cfRule type="expression" dxfId="20" priority="1">
      <formula>(I4&lt;&gt;"")</formula>
    </cfRule>
  </conditionalFormatting>
  <dataValidations count="1">
    <dataValidation type="date" operator="greaterThanOrEqual" showInputMessage="1" showErrorMessage="1" errorTitle="ERROR" error="Debes ingresar una fecha valida" promptTitle="Introduce una Fecha Valida" prompt="Fecha De Comienzo" sqref="C5" xr:uid="{2F2AC1C1-982E-41C6-9549-6A77BC63C452}">
      <formula1>45698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661C9C6-50AD-4904-AD62-CE27632C42A2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F5:G5</xm:sqref>
        </x14:conditionalFormatting>
        <x14:conditionalFormatting xmlns:xm="http://schemas.microsoft.com/office/excel/2006/main">
          <x14:cfRule type="dataBar" id="{AC29BCC7-9DEA-42A0-ACB3-977ECF67217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F6:G6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88D43-1BF5-4B14-A024-1E3F851DFC17}">
  <dimension ref="A2:I155"/>
  <sheetViews>
    <sheetView showGridLines="0" topLeftCell="A5" zoomScaleNormal="100" workbookViewId="0">
      <selection activeCell="E20" sqref="E20"/>
    </sheetView>
  </sheetViews>
  <sheetFormatPr baseColWidth="10" defaultColWidth="10.81640625" defaultRowHeight="15" x14ac:dyDescent="0.3"/>
  <cols>
    <col min="1" max="1" width="10.1796875" style="41" bestFit="1" customWidth="1"/>
    <col min="2" max="2" width="21.453125" style="41" bestFit="1" customWidth="1"/>
    <col min="3" max="3" width="19.54296875" style="42" bestFit="1" customWidth="1"/>
    <col min="4" max="4" width="7.81640625" style="41" bestFit="1" customWidth="1"/>
    <col min="5" max="5" width="16.1796875" style="41" bestFit="1" customWidth="1"/>
    <col min="6" max="6" width="16" style="41" bestFit="1" customWidth="1"/>
    <col min="7" max="7" width="13.54296875" style="41" bestFit="1" customWidth="1"/>
    <col min="8" max="8" width="6.54296875" style="41" bestFit="1" customWidth="1"/>
    <col min="9" max="9" width="10.81640625" style="41" bestFit="1" customWidth="1"/>
    <col min="10" max="10" width="4.54296875" style="41" customWidth="1"/>
    <col min="11" max="16384" width="10.81640625" style="41"/>
  </cols>
  <sheetData>
    <row r="2" spans="1:9" ht="15" customHeight="1" x14ac:dyDescent="0.3">
      <c r="B2" s="124" t="s">
        <v>25</v>
      </c>
      <c r="C2" s="125"/>
      <c r="E2" s="128" t="str">
        <f ca="1">IF('CONSOLIDADO - ALCANCE '!Z5&gt;='CONSOLIDADO - ALCANCE '!M6,"PLANILLA FINALIZADA",IF('CONSOLIDADO - ALCANCE '!M3&gt;0.09,CONCATENATE("Planilla Atrasada un ",TEXT('CONSOLIDADO - ALCANCE '!M3,"0%")),""))</f>
        <v/>
      </c>
      <c r="F2" s="128"/>
      <c r="G2" s="128"/>
      <c r="H2" s="128"/>
    </row>
    <row r="3" spans="1:9" ht="30" customHeight="1" x14ac:dyDescent="0.3">
      <c r="B3" s="126"/>
      <c r="C3" s="127"/>
      <c r="E3" s="128"/>
      <c r="F3" s="128"/>
      <c r="G3" s="128"/>
      <c r="H3" s="128"/>
    </row>
    <row r="4" spans="1:9" ht="15.5" thickBot="1" x14ac:dyDescent="0.35"/>
    <row r="5" spans="1:9" ht="15" customHeight="1" x14ac:dyDescent="0.3">
      <c r="C5" s="115">
        <f>COUNTIF(I10:I154,"Si")/B155</f>
        <v>0.91851851851851851</v>
      </c>
      <c r="D5" s="116"/>
      <c r="E5" s="117"/>
      <c r="F5" s="20"/>
      <c r="G5" s="129" t="str">
        <f>IF('CONSOLIDADO - ALCANCE '!D15&lt;&gt;"","Nuevo Aviso en la Primer Hoja","")</f>
        <v/>
      </c>
      <c r="H5" s="129"/>
      <c r="I5" s="129"/>
    </row>
    <row r="6" spans="1:9" x14ac:dyDescent="0.3">
      <c r="C6" s="118"/>
      <c r="D6" s="119"/>
      <c r="E6" s="120"/>
      <c r="F6" s="20"/>
      <c r="G6" s="129"/>
      <c r="H6" s="129"/>
      <c r="I6" s="129"/>
    </row>
    <row r="7" spans="1:9" ht="15.5" thickBot="1" x14ac:dyDescent="0.35">
      <c r="C7" s="121"/>
      <c r="D7" s="122"/>
      <c r="E7" s="123"/>
      <c r="F7" s="20"/>
      <c r="G7" s="129"/>
      <c r="H7" s="129"/>
      <c r="I7" s="129"/>
    </row>
    <row r="9" spans="1:9" x14ac:dyDescent="0.3">
      <c r="A9" s="61" t="s">
        <v>26</v>
      </c>
      <c r="B9" s="61" t="s">
        <v>27</v>
      </c>
      <c r="C9" s="67" t="s">
        <v>28</v>
      </c>
      <c r="D9" s="61" t="s">
        <v>29</v>
      </c>
      <c r="E9" s="61" t="s">
        <v>30</v>
      </c>
      <c r="F9" s="61" t="s">
        <v>31</v>
      </c>
      <c r="G9" s="66" t="s">
        <v>32</v>
      </c>
      <c r="H9" s="66" t="s">
        <v>33</v>
      </c>
      <c r="I9" s="66" t="s">
        <v>34</v>
      </c>
    </row>
    <row r="10" spans="1:9" x14ac:dyDescent="0.3">
      <c r="A10" s="43" t="s">
        <v>35</v>
      </c>
      <c r="B10" s="43" t="s">
        <v>36</v>
      </c>
      <c r="C10" s="40">
        <v>45955</v>
      </c>
      <c r="D10" s="5">
        <v>222</v>
      </c>
      <c r="E10" s="5">
        <v>224</v>
      </c>
      <c r="F10" s="21">
        <f>SUMIF(Ajustes!$A$3:$A$150,Medicamentos!B10,Ajustes!$C$3:$C$150)+SUMIF(Ajustes!$A$3:$A$150,Medicamentos!B10,Ajustes!$E$3:$E$150)</f>
        <v>198125.83999999997</v>
      </c>
      <c r="G10" s="44">
        <f t="shared" ref="G10:G38" si="0">E10-D10</f>
        <v>2</v>
      </c>
      <c r="H10" s="45">
        <f>IF(C10&lt;&gt;"",0,"")</f>
        <v>0</v>
      </c>
      <c r="I10" s="22" t="str">
        <f>IF(AND(D10="0",E10="0"),"SI",IF(COUNTIF(Ajustes!$A$3:$A$150,B10),"SI",IF(AND(D10=0,E10=0,NOT(ISBLANK(D10)),NOT(ISBLANK(E10))),"SI","")))</f>
        <v>SI</v>
      </c>
    </row>
    <row r="11" spans="1:9" x14ac:dyDescent="0.3">
      <c r="A11" s="43" t="s">
        <v>35</v>
      </c>
      <c r="B11" s="43" t="s">
        <v>37</v>
      </c>
      <c r="C11" s="40"/>
      <c r="D11" s="87"/>
      <c r="E11" s="5"/>
      <c r="F11" s="21">
        <f>SUMIF(Ajustes!$A$3:$A$150,Medicamentos!B11,Ajustes!$C$3:$C$150)+SUMIF(Ajustes!$A$3:$A$150,Medicamentos!B11,Ajustes!$E$3:$E$150)</f>
        <v>0</v>
      </c>
      <c r="G11" s="44">
        <f t="shared" si="0"/>
        <v>0</v>
      </c>
      <c r="H11" s="45" t="str">
        <f>IF(C11&lt;&gt;"",0,"")</f>
        <v/>
      </c>
      <c r="I11" s="22" t="str">
        <f>IF(AND(D11="0",E11="0"),"SI",IF(COUNTIF(Ajustes!$A$3:$A$150,B11),"SI",IF(AND(D11=0,E11=0,NOT(ISBLANK(D11)),NOT(ISBLANK(E11))),"SI","")))</f>
        <v/>
      </c>
    </row>
    <row r="12" spans="1:9" x14ac:dyDescent="0.3">
      <c r="A12" s="43" t="s">
        <v>35</v>
      </c>
      <c r="B12" s="43" t="s">
        <v>38</v>
      </c>
      <c r="C12" s="40">
        <v>45965</v>
      </c>
      <c r="D12" s="5">
        <v>515</v>
      </c>
      <c r="E12" s="5">
        <v>526</v>
      </c>
      <c r="F12" s="21">
        <f>SUMIF(Ajustes!$A$3:$A$150,Medicamentos!B12,Ajustes!$C$3:$C$150)+SUMIF(Ajustes!$A$3:$A$150,Medicamentos!B12,Ajustes!$E$3:$E$150)</f>
        <v>364422.48000000004</v>
      </c>
      <c r="G12" s="44">
        <f t="shared" si="0"/>
        <v>11</v>
      </c>
      <c r="H12" s="45">
        <f t="shared" ref="H12:H38" si="1">IF(C12&lt;&gt;"",0,"")</f>
        <v>0</v>
      </c>
      <c r="I12" s="22" t="str">
        <f>IF(AND(D12="0",E12="0"),"SI",IF(COUNTIF(Ajustes!$A$3:$A$150,B12),"SI",IF(AND(D12=0,E12=0,NOT(ISBLANK(D12)),NOT(ISBLANK(E12))),"SI","")))</f>
        <v>SI</v>
      </c>
    </row>
    <row r="13" spans="1:9" x14ac:dyDescent="0.3">
      <c r="A13" s="43" t="s">
        <v>35</v>
      </c>
      <c r="B13" s="43" t="s">
        <v>39</v>
      </c>
      <c r="C13" s="40">
        <v>45959</v>
      </c>
      <c r="D13" s="6">
        <v>786</v>
      </c>
      <c r="E13" s="6">
        <v>743</v>
      </c>
      <c r="F13" s="21">
        <f>SUMIF(Ajustes!$A$3:$A$150,Medicamentos!B13,Ajustes!$C$3:$C$150)+SUMIF(Ajustes!$A$3:$A$150,Medicamentos!B13,Ajustes!$E$3:$E$150)</f>
        <v>-279504.78999999998</v>
      </c>
      <c r="G13" s="44">
        <f t="shared" si="0"/>
        <v>-43</v>
      </c>
      <c r="H13" s="45">
        <f t="shared" si="1"/>
        <v>0</v>
      </c>
      <c r="I13" s="22" t="str">
        <f>IF(AND(D13="0",E13="0"),"SI",IF(COUNTIF(Ajustes!$A$3:$A$150,B13),"SI",IF(AND(D13=0,E13=0,NOT(ISBLANK(D13)),NOT(ISBLANK(E13))),"SI","")))</f>
        <v>SI</v>
      </c>
    </row>
    <row r="14" spans="1:9" x14ac:dyDescent="0.3">
      <c r="A14" s="43" t="s">
        <v>35</v>
      </c>
      <c r="B14" s="43" t="s">
        <v>40</v>
      </c>
      <c r="C14" s="40">
        <v>45957</v>
      </c>
      <c r="D14" s="5">
        <v>742</v>
      </c>
      <c r="E14" s="5">
        <v>769</v>
      </c>
      <c r="F14" s="21">
        <f>SUMIF(Ajustes!$A$3:$A$150,Medicamentos!B14,Ajustes!$C$3:$C$150)+SUMIF(Ajustes!$A$3:$A$150,Medicamentos!B14,Ajustes!$E$3:$E$150)</f>
        <v>0</v>
      </c>
      <c r="G14" s="44">
        <f t="shared" si="0"/>
        <v>27</v>
      </c>
      <c r="H14" s="45">
        <f t="shared" si="1"/>
        <v>0</v>
      </c>
      <c r="I14" s="22" t="str">
        <f>IF(AND(D14="0",E14="0"),"SI",IF(COUNTIF(Ajustes!$A$3:$A$150,B14),"SI",IF(AND(D14=0,E14=0,NOT(ISBLANK(D14)),NOT(ISBLANK(E14))),"SI","")))</f>
        <v/>
      </c>
    </row>
    <row r="15" spans="1:9" x14ac:dyDescent="0.3">
      <c r="A15" s="43" t="s">
        <v>35</v>
      </c>
      <c r="B15" s="43" t="s">
        <v>41</v>
      </c>
      <c r="C15" s="40">
        <v>45888</v>
      </c>
      <c r="D15" s="6">
        <v>225</v>
      </c>
      <c r="E15" s="6">
        <v>217</v>
      </c>
      <c r="F15" s="21">
        <f>SUMIF(Ajustes!$A$3:$A$150,Medicamentos!B15,Ajustes!$C$3:$C$150)+SUMIF(Ajustes!$A$3:$A$150,Medicamentos!B15,Ajustes!$E$3:$E$150)</f>
        <v>-157580</v>
      </c>
      <c r="G15" s="44">
        <f t="shared" si="0"/>
        <v>-8</v>
      </c>
      <c r="H15" s="45">
        <f t="shared" si="1"/>
        <v>0</v>
      </c>
      <c r="I15" s="22" t="str">
        <f>IF(AND(D15="0",E15="0"),"SI",IF(COUNTIF(Ajustes!$A$3:$A$150,B15),"SI",IF(AND(D15=0,E15=0,NOT(ISBLANK(D15)),NOT(ISBLANK(E15))),"SI","")))</f>
        <v>SI</v>
      </c>
    </row>
    <row r="16" spans="1:9" x14ac:dyDescent="0.3">
      <c r="A16" s="43" t="s">
        <v>35</v>
      </c>
      <c r="B16" s="43" t="s">
        <v>42</v>
      </c>
      <c r="C16" s="40"/>
      <c r="D16" s="6"/>
      <c r="E16" s="6"/>
      <c r="F16" s="21">
        <f>SUMIF(Ajustes!$A$3:$A$150,Medicamentos!B16,Ajustes!$C$3:$C$150)+SUMIF(Ajustes!$A$3:$A$150,Medicamentos!B16,Ajustes!$E$3:$E$150)</f>
        <v>0</v>
      </c>
      <c r="G16" s="44">
        <f t="shared" si="0"/>
        <v>0</v>
      </c>
      <c r="H16" s="45" t="str">
        <f t="shared" si="1"/>
        <v/>
      </c>
      <c r="I16" s="22" t="str">
        <f>IF(AND(D16="0",E16="0"),"SI",IF(COUNTIF(Ajustes!$A$3:$A$150,B16),"SI",IF(AND(D16=0,E16=0,NOT(ISBLANK(D16)),NOT(ISBLANK(E16))),"SI","")))</f>
        <v/>
      </c>
    </row>
    <row r="17" spans="1:9" x14ac:dyDescent="0.3">
      <c r="A17" s="43" t="s">
        <v>35</v>
      </c>
      <c r="B17" s="43" t="s">
        <v>43</v>
      </c>
      <c r="C17" s="40">
        <v>45961</v>
      </c>
      <c r="D17" s="6">
        <v>590</v>
      </c>
      <c r="E17" s="6">
        <v>609</v>
      </c>
      <c r="F17" s="21">
        <f>SUMIF(Ajustes!$A$3:$A$150,Medicamentos!B17,Ajustes!$C$3:$C$150)+SUMIF(Ajustes!$A$3:$A$150,Medicamentos!B17,Ajustes!$E$3:$E$150)</f>
        <v>-131743.19999999995</v>
      </c>
      <c r="G17" s="44">
        <f t="shared" si="0"/>
        <v>19</v>
      </c>
      <c r="H17" s="45">
        <f t="shared" si="1"/>
        <v>0</v>
      </c>
      <c r="I17" s="22" t="str">
        <f>IF(AND(D17="0",E17="0"),"SI",IF(COUNTIF(Ajustes!$A$3:$A$150,B17),"SI",IF(AND(D17=0,E17=0,NOT(ISBLANK(D17)),NOT(ISBLANK(E17))),"SI","")))</f>
        <v>SI</v>
      </c>
    </row>
    <row r="18" spans="1:9" x14ac:dyDescent="0.3">
      <c r="A18" s="43" t="s">
        <v>35</v>
      </c>
      <c r="B18" s="43" t="s">
        <v>44</v>
      </c>
      <c r="C18" s="9"/>
      <c r="D18" s="6"/>
      <c r="E18" s="6"/>
      <c r="F18" s="21">
        <f>SUMIF(Ajustes!$A$3:$A$150,Medicamentos!B18,Ajustes!$C$3:$C$150)+SUMIF(Ajustes!$A$3:$A$150,Medicamentos!B18,Ajustes!$E$3:$E$150)</f>
        <v>0</v>
      </c>
      <c r="G18" s="44">
        <f t="shared" si="0"/>
        <v>0</v>
      </c>
      <c r="H18" s="45" t="str">
        <f t="shared" si="1"/>
        <v/>
      </c>
      <c r="I18" s="22" t="str">
        <f>IF(AND(D18="0",E18="0"),"SI",IF(COUNTIF(Ajustes!$A$3:$A$150,B18),"SI",IF(AND(D18=0,E18=0,NOT(ISBLANK(D18)),NOT(ISBLANK(E18))),"SI","")))</f>
        <v/>
      </c>
    </row>
    <row r="19" spans="1:9" x14ac:dyDescent="0.3">
      <c r="A19" s="43" t="s">
        <v>35</v>
      </c>
      <c r="B19" s="43" t="s">
        <v>45</v>
      </c>
      <c r="C19" s="40">
        <v>45969</v>
      </c>
      <c r="D19" s="5">
        <v>207</v>
      </c>
      <c r="E19" s="5">
        <v>205</v>
      </c>
      <c r="F19" s="21">
        <f>SUMIF(Ajustes!$A$3:$A$150,Medicamentos!B19,Ajustes!$C$3:$C$150)+SUMIF(Ajustes!$A$3:$A$150,Medicamentos!B19,Ajustes!$E$3:$E$150)</f>
        <v>-27691.489999999991</v>
      </c>
      <c r="G19" s="44">
        <f t="shared" si="0"/>
        <v>-2</v>
      </c>
      <c r="H19" s="45">
        <f t="shared" si="1"/>
        <v>0</v>
      </c>
      <c r="I19" s="22" t="str">
        <f>IF(AND(D19="0",E19="0"),"SI",IF(COUNTIF(Ajustes!$A$3:$A$150,B19),"SI",IF(AND(D19=0,E19=0,NOT(ISBLANK(D19)),NOT(ISBLANK(E19))),"SI","")))</f>
        <v>SI</v>
      </c>
    </row>
    <row r="20" spans="1:9" x14ac:dyDescent="0.3">
      <c r="A20" s="43" t="s">
        <v>35</v>
      </c>
      <c r="B20" s="43" t="s">
        <v>46</v>
      </c>
      <c r="C20" s="9"/>
      <c r="D20" s="6"/>
      <c r="E20" s="6"/>
      <c r="F20" s="21">
        <f>SUMIF(Ajustes!$A$3:$A$150,Medicamentos!B20,Ajustes!$C$3:$C$150)+SUMIF(Ajustes!$A$3:$A$150,Medicamentos!B20,Ajustes!$E$3:$E$150)</f>
        <v>0</v>
      </c>
      <c r="G20" s="44">
        <f t="shared" si="0"/>
        <v>0</v>
      </c>
      <c r="H20" s="45" t="str">
        <f t="shared" si="1"/>
        <v/>
      </c>
      <c r="I20" s="22" t="str">
        <f>IF(AND(D20="0",E20="0"),"SI",IF(COUNTIF(Ajustes!$A$3:$A$150,B20),"SI",IF(AND(D20=0,E20=0,NOT(ISBLANK(D20)),NOT(ISBLANK(E20))),"SI","")))</f>
        <v/>
      </c>
    </row>
    <row r="21" spans="1:9" x14ac:dyDescent="0.3">
      <c r="A21" s="43" t="s">
        <v>35</v>
      </c>
      <c r="B21" s="43" t="s">
        <v>47</v>
      </c>
      <c r="C21" s="40"/>
      <c r="D21" s="5"/>
      <c r="E21" s="5"/>
      <c r="F21" s="21">
        <f>SUMIF(Ajustes!$A$3:$A$150,Medicamentos!B21,Ajustes!$C$3:$C$150)+SUMIF(Ajustes!$A$3:$A$150,Medicamentos!B21,Ajustes!$E$3:$E$150)</f>
        <v>0</v>
      </c>
      <c r="G21" s="44">
        <f t="shared" si="0"/>
        <v>0</v>
      </c>
      <c r="H21" s="45" t="str">
        <f t="shared" si="1"/>
        <v/>
      </c>
      <c r="I21" s="22" t="str">
        <f>IF(AND(D21="0",E21="0"),"SI",IF(COUNTIF(Ajustes!$A$3:$A$150,B21),"SI",IF(AND(D21=0,E21=0,NOT(ISBLANK(D21)),NOT(ISBLANK(E21))),"SI","")))</f>
        <v/>
      </c>
    </row>
    <row r="22" spans="1:9" x14ac:dyDescent="0.3">
      <c r="A22" s="43" t="s">
        <v>35</v>
      </c>
      <c r="B22" s="43" t="s">
        <v>48</v>
      </c>
      <c r="C22" s="9">
        <v>45954</v>
      </c>
      <c r="D22" s="6">
        <v>162</v>
      </c>
      <c r="E22" s="6">
        <v>157</v>
      </c>
      <c r="F22" s="21">
        <f>SUMIF(Ajustes!$A$3:$A$150,Medicamentos!B22,Ajustes!$C$3:$C$150)+SUMIF(Ajustes!$A$3:$A$150,Medicamentos!B22,Ajustes!$E$3:$E$150)</f>
        <v>-174134.71</v>
      </c>
      <c r="G22" s="44">
        <f t="shared" si="0"/>
        <v>-5</v>
      </c>
      <c r="H22" s="45">
        <f t="shared" si="1"/>
        <v>0</v>
      </c>
      <c r="I22" s="22" t="str">
        <f>IF(AND(D22="0",E22="0"),"SI",IF(COUNTIF(Ajustes!$A$3:$A$150,B22),"SI",IF(AND(D22=0,E22=0,NOT(ISBLANK(D22)),NOT(ISBLANK(E22))),"SI","")))</f>
        <v>SI</v>
      </c>
    </row>
    <row r="23" spans="1:9" x14ac:dyDescent="0.3">
      <c r="A23" s="43" t="s">
        <v>35</v>
      </c>
      <c r="B23" s="43" t="s">
        <v>49</v>
      </c>
      <c r="C23" s="9">
        <v>45885</v>
      </c>
      <c r="D23" s="6">
        <v>96</v>
      </c>
      <c r="E23" s="6">
        <v>94</v>
      </c>
      <c r="F23" s="21">
        <f>SUMIF(Ajustes!$A$3:$A$150,Medicamentos!B23,Ajustes!$C$3:$C$150)+SUMIF(Ajustes!$A$3:$A$150,Medicamentos!B23,Ajustes!$E$3:$E$150)</f>
        <v>-66095</v>
      </c>
      <c r="G23" s="44">
        <f t="shared" si="0"/>
        <v>-2</v>
      </c>
      <c r="H23" s="45">
        <f t="shared" si="1"/>
        <v>0</v>
      </c>
      <c r="I23" s="22" t="str">
        <f>IF(AND(D23="0",E23="0"),"SI",IF(COUNTIF(Ajustes!$A$3:$A$150,B23),"SI",IF(AND(D23=0,E23=0,NOT(ISBLANK(D23)),NOT(ISBLANK(E23))),"SI","")))</f>
        <v>SI</v>
      </c>
    </row>
    <row r="24" spans="1:9" x14ac:dyDescent="0.3">
      <c r="A24" s="43" t="s">
        <v>35</v>
      </c>
      <c r="B24" s="43" t="s">
        <v>50</v>
      </c>
      <c r="C24" s="9">
        <v>45955</v>
      </c>
      <c r="D24" s="6">
        <v>360</v>
      </c>
      <c r="E24" s="6">
        <v>360</v>
      </c>
      <c r="F24" s="21">
        <f>SUMIF(Ajustes!$A$3:$A$150,Medicamentos!B24,Ajustes!$C$3:$C$150)+SUMIF(Ajustes!$A$3:$A$150,Medicamentos!B24,Ajustes!$E$3:$E$150)</f>
        <v>45475.47</v>
      </c>
      <c r="G24" s="44">
        <f t="shared" si="0"/>
        <v>0</v>
      </c>
      <c r="H24" s="45">
        <f t="shared" si="1"/>
        <v>0</v>
      </c>
      <c r="I24" s="22" t="str">
        <f>IF(AND(D24="0",E24="0"),"SI",IF(COUNTIF(Ajustes!$A$3:$A$150,B24),"SI",IF(AND(D24=0,E24=0,NOT(ISBLANK(D24)),NOT(ISBLANK(E24))),"SI","")))</f>
        <v>SI</v>
      </c>
    </row>
    <row r="25" spans="1:9" x14ac:dyDescent="0.3">
      <c r="A25" s="43" t="s">
        <v>35</v>
      </c>
      <c r="B25" s="43" t="s">
        <v>51</v>
      </c>
      <c r="C25" s="9"/>
      <c r="D25" s="6"/>
      <c r="E25" s="6"/>
      <c r="F25" s="21">
        <f>SUMIF(Ajustes!$A$3:$A$150,Medicamentos!B25,Ajustes!$C$3:$C$150)+SUMIF(Ajustes!$A$3:$A$150,Medicamentos!B25,Ajustes!$E$3:$E$150)</f>
        <v>0</v>
      </c>
      <c r="G25" s="44">
        <f t="shared" si="0"/>
        <v>0</v>
      </c>
      <c r="H25" s="45" t="str">
        <f t="shared" si="1"/>
        <v/>
      </c>
      <c r="I25" s="22" t="str">
        <f>IF(AND(D25="0",E25="0"),"SI",IF(COUNTIF(Ajustes!$A$3:$A$150,B25),"SI",IF(AND(D25=0,E25=0,NOT(ISBLANK(D25)),NOT(ISBLANK(E25))),"SI","")))</f>
        <v/>
      </c>
    </row>
    <row r="26" spans="1:9" x14ac:dyDescent="0.3">
      <c r="A26" s="43" t="s">
        <v>35</v>
      </c>
      <c r="B26" s="43" t="s">
        <v>52</v>
      </c>
      <c r="C26" s="9">
        <v>45924</v>
      </c>
      <c r="D26" s="6">
        <v>265</v>
      </c>
      <c r="E26" s="6">
        <v>218</v>
      </c>
      <c r="F26" s="21">
        <f>SUMIF(Ajustes!$A$3:$A$150,Medicamentos!B26,Ajustes!$C$3:$C$150)+SUMIF(Ajustes!$A$3:$A$150,Medicamentos!B26,Ajustes!$E$3:$E$150)</f>
        <v>-6932.03</v>
      </c>
      <c r="G26" s="44">
        <f t="shared" si="0"/>
        <v>-47</v>
      </c>
      <c r="H26" s="45">
        <f t="shared" si="1"/>
        <v>0</v>
      </c>
      <c r="I26" s="22" t="str">
        <f>IF(AND(D26="0",E26="0"),"SI",IF(COUNTIF(Ajustes!$A$3:$A$150,B26),"SI",IF(AND(D26=0,E26=0,NOT(ISBLANK(D26)),NOT(ISBLANK(E26))),"SI","")))</f>
        <v>SI</v>
      </c>
    </row>
    <row r="27" spans="1:9" x14ac:dyDescent="0.3">
      <c r="A27" s="43" t="s">
        <v>35</v>
      </c>
      <c r="B27" s="43" t="s">
        <v>53</v>
      </c>
      <c r="C27" s="9">
        <v>45955</v>
      </c>
      <c r="D27" s="6">
        <v>292</v>
      </c>
      <c r="E27" s="6">
        <v>289</v>
      </c>
      <c r="F27" s="21">
        <f>SUMIF(Ajustes!$A$3:$A$150,Medicamentos!B27,Ajustes!$C$3:$C$150)+SUMIF(Ajustes!$A$3:$A$150,Medicamentos!B27,Ajustes!$E$3:$E$150)</f>
        <v>-213271.1</v>
      </c>
      <c r="G27" s="44">
        <f t="shared" si="0"/>
        <v>-3</v>
      </c>
      <c r="H27" s="45">
        <f t="shared" si="1"/>
        <v>0</v>
      </c>
      <c r="I27" s="22" t="str">
        <f>IF(AND(D27="0",E27="0"),"SI",IF(COUNTIF(Ajustes!$A$3:$A$150,B27),"SI",IF(AND(D27=0,E27=0,NOT(ISBLANK(D27)),NOT(ISBLANK(E27))),"SI","")))</f>
        <v>SI</v>
      </c>
    </row>
    <row r="28" spans="1:9" x14ac:dyDescent="0.3">
      <c r="A28" s="43" t="s">
        <v>35</v>
      </c>
      <c r="B28" s="43" t="s">
        <v>54</v>
      </c>
      <c r="C28" s="9">
        <v>45955</v>
      </c>
      <c r="D28" s="6">
        <v>145</v>
      </c>
      <c r="E28" s="6">
        <v>139</v>
      </c>
      <c r="F28" s="21">
        <f>SUMIF(Ajustes!$A$3:$A$150,Medicamentos!B28,Ajustes!$C$3:$C$150)+SUMIF(Ajustes!$A$3:$A$150,Medicamentos!B28,Ajustes!$E$3:$E$150)</f>
        <v>-278564.27999999997</v>
      </c>
      <c r="G28" s="44">
        <f t="shared" si="0"/>
        <v>-6</v>
      </c>
      <c r="H28" s="45">
        <f t="shared" si="1"/>
        <v>0</v>
      </c>
      <c r="I28" s="22" t="str">
        <f>IF(AND(D28="0",E28="0"),"SI",IF(COUNTIF(Ajustes!$A$3:$A$150,B28),"SI",IF(AND(D28=0,E28=0,NOT(ISBLANK(D28)),NOT(ISBLANK(E28))),"SI","")))</f>
        <v>SI</v>
      </c>
    </row>
    <row r="29" spans="1:9" x14ac:dyDescent="0.3">
      <c r="A29" s="43" t="s">
        <v>35</v>
      </c>
      <c r="B29" s="43" t="s">
        <v>55</v>
      </c>
      <c r="C29" s="40">
        <v>45923</v>
      </c>
      <c r="D29" s="5">
        <v>236</v>
      </c>
      <c r="E29" s="5">
        <v>236</v>
      </c>
      <c r="F29" s="21">
        <f>SUMIF(Ajustes!$A$3:$A$150,Medicamentos!B29,Ajustes!$C$3:$C$150)+SUMIF(Ajustes!$A$3:$A$150,Medicamentos!B29,Ajustes!$E$3:$E$150)</f>
        <v>33686.579999999958</v>
      </c>
      <c r="G29" s="44">
        <f t="shared" si="0"/>
        <v>0</v>
      </c>
      <c r="H29" s="45">
        <f t="shared" si="1"/>
        <v>0</v>
      </c>
      <c r="I29" s="22" t="str">
        <f>IF(AND(D29="0",E29="0"),"SI",IF(COUNTIF(Ajustes!$A$3:$A$150,B29),"SI",IF(AND(D29=0,E29=0,NOT(ISBLANK(D29)),NOT(ISBLANK(E29))),"SI","")))</f>
        <v>SI</v>
      </c>
    </row>
    <row r="30" spans="1:9" x14ac:dyDescent="0.3">
      <c r="A30" s="43" t="s">
        <v>35</v>
      </c>
      <c r="B30" s="43" t="s">
        <v>56</v>
      </c>
      <c r="C30" s="9">
        <v>45962</v>
      </c>
      <c r="D30" s="6">
        <v>0</v>
      </c>
      <c r="E30" s="6">
        <v>0</v>
      </c>
      <c r="F30" s="21">
        <f>SUMIF(Ajustes!$A$3:$A$150,Medicamentos!B30,Ajustes!$C$3:$C$150)+SUMIF(Ajustes!$A$3:$A$150,Medicamentos!B30,Ajustes!$E$3:$E$150)</f>
        <v>0</v>
      </c>
      <c r="G30" s="44">
        <f t="shared" si="0"/>
        <v>0</v>
      </c>
      <c r="H30" s="45">
        <f t="shared" si="1"/>
        <v>0</v>
      </c>
      <c r="I30" s="22" t="str">
        <f>IF(AND(D30="0",E30="0"),"SI",IF(COUNTIF(Ajustes!$A$3:$A$150,B30),"SI",IF(AND(D30=0,E30=0,NOT(ISBLANK(D30)),NOT(ISBLANK(E30))),"SI","")))</f>
        <v>SI</v>
      </c>
    </row>
    <row r="31" spans="1:9" x14ac:dyDescent="0.3">
      <c r="A31" s="43" t="s">
        <v>35</v>
      </c>
      <c r="B31" s="43" t="s">
        <v>57</v>
      </c>
      <c r="C31" s="9">
        <v>45922</v>
      </c>
      <c r="D31" s="6">
        <v>248</v>
      </c>
      <c r="E31" s="6">
        <v>247</v>
      </c>
      <c r="F31" s="21">
        <f>SUMIF(Ajustes!$A$3:$A$150,Medicamentos!B31,Ajustes!$C$3:$C$150)+SUMIF(Ajustes!$A$3:$A$150,Medicamentos!B31,Ajustes!$E$3:$E$150)</f>
        <v>-29550.47</v>
      </c>
      <c r="G31" s="44">
        <f t="shared" si="0"/>
        <v>-1</v>
      </c>
      <c r="H31" s="45">
        <f t="shared" si="1"/>
        <v>0</v>
      </c>
      <c r="I31" s="22" t="str">
        <f>IF(AND(D31="0",E31="0"),"SI",IF(COUNTIF(Ajustes!$A$3:$A$150,B31),"SI",IF(AND(D31=0,E31=0,NOT(ISBLANK(D31)),NOT(ISBLANK(E31))),"SI","")))</f>
        <v>SI</v>
      </c>
    </row>
    <row r="32" spans="1:9" x14ac:dyDescent="0.3">
      <c r="A32" s="43" t="s">
        <v>35</v>
      </c>
      <c r="B32" s="43" t="s">
        <v>58</v>
      </c>
      <c r="C32" s="9">
        <v>45953</v>
      </c>
      <c r="D32" s="6">
        <v>0</v>
      </c>
      <c r="E32" s="6">
        <v>0</v>
      </c>
      <c r="F32" s="21">
        <f>SUMIF(Ajustes!$A$3:$A$150,Medicamentos!B32,Ajustes!$C$3:$C$150)+SUMIF(Ajustes!$A$3:$A$150,Medicamentos!B32,Ajustes!$E$3:$E$150)</f>
        <v>0</v>
      </c>
      <c r="G32" s="44">
        <f t="shared" si="0"/>
        <v>0</v>
      </c>
      <c r="H32" s="45">
        <f t="shared" si="1"/>
        <v>0</v>
      </c>
      <c r="I32" s="22" t="str">
        <f>IF(AND(D32="0",E32="0"),"SI",IF(COUNTIF(Ajustes!$A$3:$A$150,B32),"SI",IF(AND(D32=0,E32=0,NOT(ISBLANK(D32)),NOT(ISBLANK(E32))),"SI","")))</f>
        <v>SI</v>
      </c>
    </row>
    <row r="33" spans="1:9" x14ac:dyDescent="0.3">
      <c r="A33" s="43" t="s">
        <v>35</v>
      </c>
      <c r="B33" s="43" t="s">
        <v>59</v>
      </c>
      <c r="C33" s="40">
        <v>45957</v>
      </c>
      <c r="D33" s="5">
        <v>0</v>
      </c>
      <c r="E33" s="6">
        <v>0</v>
      </c>
      <c r="F33" s="21">
        <f>SUMIF(Ajustes!$A$3:$A$150,Medicamentos!B33,Ajustes!$C$3:$C$150)+SUMIF(Ajustes!$A$3:$A$150,Medicamentos!B33,Ajustes!$E$3:$E$150)</f>
        <v>0</v>
      </c>
      <c r="G33" s="44">
        <f t="shared" si="0"/>
        <v>0</v>
      </c>
      <c r="H33" s="45">
        <f t="shared" si="1"/>
        <v>0</v>
      </c>
      <c r="I33" s="22" t="str">
        <f>IF(AND(D33="0",E33="0"),"SI",IF(COUNTIF(Ajustes!$A$3:$A$150,B33),"SI",IF(AND(D33=0,E33=0,NOT(ISBLANK(D33)),NOT(ISBLANK(E33))),"SI","")))</f>
        <v>SI</v>
      </c>
    </row>
    <row r="34" spans="1:9" x14ac:dyDescent="0.3">
      <c r="A34" s="43" t="s">
        <v>35</v>
      </c>
      <c r="B34" s="43" t="s">
        <v>60</v>
      </c>
      <c r="C34" s="9">
        <v>45960</v>
      </c>
      <c r="D34" s="6">
        <v>1092</v>
      </c>
      <c r="E34" s="6">
        <v>1088</v>
      </c>
      <c r="F34" s="21">
        <f>SUMIF(Ajustes!$A$3:$A$150,Medicamentos!B34,Ajustes!$C$3:$C$150)+SUMIF(Ajustes!$A$3:$A$150,Medicamentos!B34,Ajustes!$E$3:$E$150)</f>
        <v>-34484</v>
      </c>
      <c r="G34" s="44">
        <f t="shared" si="0"/>
        <v>-4</v>
      </c>
      <c r="H34" s="45">
        <f t="shared" si="1"/>
        <v>0</v>
      </c>
      <c r="I34" s="22" t="str">
        <f>IF(AND(D34="0",E34="0"),"SI",IF(COUNTIF(Ajustes!$A$3:$A$150,B34),"SI",IF(AND(D34=0,E34=0,NOT(ISBLANK(D34)),NOT(ISBLANK(E34))),"SI","")))</f>
        <v>SI</v>
      </c>
    </row>
    <row r="35" spans="1:9" x14ac:dyDescent="0.3">
      <c r="A35" s="43" t="s">
        <v>35</v>
      </c>
      <c r="B35" s="43" t="s">
        <v>61</v>
      </c>
      <c r="C35" s="9">
        <v>45934</v>
      </c>
      <c r="D35" s="6">
        <v>327</v>
      </c>
      <c r="E35" s="6">
        <v>339</v>
      </c>
      <c r="F35" s="21">
        <f>SUMIF(Ajustes!$A$3:$A$150,Medicamentos!B35,Ajustes!$C$3:$C$150)+SUMIF(Ajustes!$A$3:$A$150,Medicamentos!B35,Ajustes!$E$3:$E$150)</f>
        <v>60204.210000000006</v>
      </c>
      <c r="G35" s="44">
        <f t="shared" si="0"/>
        <v>12</v>
      </c>
      <c r="H35" s="45">
        <f t="shared" si="1"/>
        <v>0</v>
      </c>
      <c r="I35" s="22" t="str">
        <f>IF(AND(D35="0",E35="0"),"SI",IF(COUNTIF(Ajustes!$A$3:$A$150,B35),"SI",IF(AND(D35=0,E35=0,NOT(ISBLANK(D35)),NOT(ISBLANK(E35))),"SI","")))</f>
        <v>SI</v>
      </c>
    </row>
    <row r="36" spans="1:9" x14ac:dyDescent="0.3">
      <c r="A36" s="43" t="s">
        <v>35</v>
      </c>
      <c r="B36" s="43" t="s">
        <v>62</v>
      </c>
      <c r="C36" s="9">
        <v>45954</v>
      </c>
      <c r="D36" s="6">
        <v>425</v>
      </c>
      <c r="E36" s="6">
        <v>441</v>
      </c>
      <c r="F36" s="21">
        <f>SUMIF(Ajustes!$A$3:$A$150,Medicamentos!B36,Ajustes!$C$3:$C$150)+SUMIF(Ajustes!$A$3:$A$150,Medicamentos!B36,Ajustes!$E$3:$E$150)</f>
        <v>415619.02</v>
      </c>
      <c r="G36" s="44">
        <f t="shared" si="0"/>
        <v>16</v>
      </c>
      <c r="H36" s="45">
        <f t="shared" si="1"/>
        <v>0</v>
      </c>
      <c r="I36" s="22" t="str">
        <f>IF(AND(D36="0",E36="0"),"SI",IF(COUNTIF(Ajustes!$A$3:$A$150,B36),"SI",IF(AND(D36=0,E36=0,NOT(ISBLANK(D36)),NOT(ISBLANK(E36))),"SI","")))</f>
        <v>SI</v>
      </c>
    </row>
    <row r="37" spans="1:9" x14ac:dyDescent="0.3">
      <c r="A37" s="43" t="s">
        <v>35</v>
      </c>
      <c r="B37" s="43" t="s">
        <v>63</v>
      </c>
      <c r="C37" s="9">
        <v>45934</v>
      </c>
      <c r="D37" s="6">
        <v>177</v>
      </c>
      <c r="E37" s="6">
        <v>169</v>
      </c>
      <c r="F37" s="21">
        <f>SUMIF(Ajustes!$A$3:$A$150,Medicamentos!B37,Ajustes!$C$3:$C$150)+SUMIF(Ajustes!$A$3:$A$150,Medicamentos!B37,Ajustes!$E$3:$E$150)</f>
        <v>-180393.37</v>
      </c>
      <c r="G37" s="44">
        <f t="shared" si="0"/>
        <v>-8</v>
      </c>
      <c r="H37" s="45">
        <f t="shared" si="1"/>
        <v>0</v>
      </c>
      <c r="I37" s="22" t="str">
        <f>IF(AND(D37="0",E37="0"),"SI",IF(COUNTIF(Ajustes!$A$3:$A$150,B37),"SI",IF(AND(D37=0,E37=0,NOT(ISBLANK(D37)),NOT(ISBLANK(E37))),"SI","")))</f>
        <v>SI</v>
      </c>
    </row>
    <row r="38" spans="1:9" x14ac:dyDescent="0.3">
      <c r="A38" s="43" t="s">
        <v>35</v>
      </c>
      <c r="B38" s="43" t="s">
        <v>64</v>
      </c>
      <c r="C38" s="9">
        <v>45927</v>
      </c>
      <c r="D38" s="6">
        <v>211</v>
      </c>
      <c r="E38" s="6">
        <v>205</v>
      </c>
      <c r="F38" s="21">
        <f>SUMIF(Ajustes!$A$3:$A$150,Medicamentos!B38,Ajustes!$C$3:$C$150)+SUMIF(Ajustes!$A$3:$A$150,Medicamentos!B38,Ajustes!$E$3:$E$150)</f>
        <v>-80999.990000000005</v>
      </c>
      <c r="G38" s="44">
        <f t="shared" si="0"/>
        <v>-6</v>
      </c>
      <c r="H38" s="45">
        <f t="shared" si="1"/>
        <v>0</v>
      </c>
      <c r="I38" s="22" t="str">
        <f>IF(AND(D38="0",E38="0"),"SI",IF(COUNTIF(Ajustes!$A$3:$A$150,B38),"SI",IF(AND(D38=0,E38=0,NOT(ISBLANK(D38)),NOT(ISBLANK(E38))),"SI","")))</f>
        <v>SI</v>
      </c>
    </row>
    <row r="39" spans="1:9" x14ac:dyDescent="0.3">
      <c r="A39" s="43" t="s">
        <v>65</v>
      </c>
      <c r="B39" s="43" t="s">
        <v>66</v>
      </c>
      <c r="C39" s="9">
        <v>45929</v>
      </c>
      <c r="D39" s="6">
        <v>40</v>
      </c>
      <c r="E39" s="6">
        <v>39</v>
      </c>
      <c r="F39" s="21">
        <f>SUMIF(Ajustes!$A$3:$A$150,Medicamentos!B39,Ajustes!$C$3:$C$150)+SUMIF(Ajustes!$A$3:$A$150,Medicamentos!B39,Ajustes!$E$3:$E$150)</f>
        <v>-36397.910000000003</v>
      </c>
      <c r="G39" s="44">
        <f>E39-D39</f>
        <v>-1</v>
      </c>
      <c r="H39" s="45">
        <f>IF(C39&lt;&gt;"",0,"")</f>
        <v>0</v>
      </c>
      <c r="I39" s="22" t="str">
        <f>IF(AND(D39="0",E39="0"),"SI",IF(COUNTIF(Ajustes!$A$3:$A$150,B39),"SI",IF(AND(D39=0,E39=0,NOT(ISBLANK(D39)),NOT(ISBLANK(E39))),"SI","")))</f>
        <v>SI</v>
      </c>
    </row>
    <row r="40" spans="1:9" x14ac:dyDescent="0.3">
      <c r="A40" s="43" t="s">
        <v>65</v>
      </c>
      <c r="B40" s="43" t="s">
        <v>67</v>
      </c>
      <c r="C40" s="9">
        <v>45929</v>
      </c>
      <c r="D40" s="6">
        <v>33</v>
      </c>
      <c r="E40" s="6">
        <v>33</v>
      </c>
      <c r="F40" s="21">
        <f>SUMIF(Ajustes!$A$3:$A$150,Medicamentos!B40,Ajustes!$C$3:$C$150)+SUMIF(Ajustes!$A$3:$A$150,Medicamentos!B40,Ajustes!$E$3:$E$150)</f>
        <v>0</v>
      </c>
      <c r="G40" s="44">
        <f t="shared" ref="G40:G92" si="2">E40-D40</f>
        <v>0</v>
      </c>
      <c r="H40" s="45">
        <f t="shared" ref="H40:H92" si="3">IF(C40&lt;&gt;"",0,"")</f>
        <v>0</v>
      </c>
      <c r="I40" s="22" t="str">
        <f>IF(AND(D40="0",E40="0"),"SI",IF(COUNTIF(Ajustes!$A$3:$A$150,B40),"SI",IF(AND(D40=0,E40=0,NOT(ISBLANK(D40)),NOT(ISBLANK(E40))),"SI","")))</f>
        <v>SI</v>
      </c>
    </row>
    <row r="41" spans="1:9" x14ac:dyDescent="0.3">
      <c r="A41" s="43" t="s">
        <v>65</v>
      </c>
      <c r="B41" s="43" t="s">
        <v>68</v>
      </c>
      <c r="C41" s="9">
        <v>45922</v>
      </c>
      <c r="D41" s="6">
        <v>30</v>
      </c>
      <c r="E41" s="6">
        <v>30</v>
      </c>
      <c r="F41" s="21">
        <f>SUMIF(Ajustes!$A$3:$A$150,Medicamentos!B41,Ajustes!$C$3:$C$150)+SUMIF(Ajustes!$A$3:$A$150,Medicamentos!B41,Ajustes!$E$3:$E$150)</f>
        <v>0</v>
      </c>
      <c r="G41" s="44">
        <f t="shared" si="2"/>
        <v>0</v>
      </c>
      <c r="H41" s="45">
        <f t="shared" si="3"/>
        <v>0</v>
      </c>
      <c r="I41" s="22" t="str">
        <f>IF(AND(D41="0",E41="0"),"SI",IF(COUNTIF(Ajustes!$A$3:$A$150,B41),"SI",IF(AND(D41=0,E41=0,NOT(ISBLANK(D41)),NOT(ISBLANK(E41))),"SI","")))</f>
        <v>SI</v>
      </c>
    </row>
    <row r="42" spans="1:9" x14ac:dyDescent="0.3">
      <c r="A42" s="43" t="s">
        <v>65</v>
      </c>
      <c r="B42" s="43" t="s">
        <v>69</v>
      </c>
      <c r="C42" s="9">
        <v>45929</v>
      </c>
      <c r="D42" s="6">
        <v>93</v>
      </c>
      <c r="E42" s="6">
        <v>93</v>
      </c>
      <c r="F42" s="21">
        <f>SUMIF(Ajustes!$A$3:$A$150,Medicamentos!B42,Ajustes!$C$3:$C$150)+SUMIF(Ajustes!$A$3:$A$150,Medicamentos!B42,Ajustes!$E$3:$E$150)</f>
        <v>88481.930000000008</v>
      </c>
      <c r="G42" s="44">
        <f t="shared" si="2"/>
        <v>0</v>
      </c>
      <c r="H42" s="45">
        <f t="shared" si="3"/>
        <v>0</v>
      </c>
      <c r="I42" s="22" t="str">
        <f>IF(AND(D42="0",E42="0"),"SI",IF(COUNTIF(Ajustes!$A$3:$A$150,B42),"SI",IF(AND(D42=0,E42=0,NOT(ISBLANK(D42)),NOT(ISBLANK(E42))),"SI","")))</f>
        <v>SI</v>
      </c>
    </row>
    <row r="43" spans="1:9" x14ac:dyDescent="0.3">
      <c r="A43" s="43" t="s">
        <v>65</v>
      </c>
      <c r="B43" s="43" t="s">
        <v>70</v>
      </c>
      <c r="C43" s="9">
        <v>45929</v>
      </c>
      <c r="D43" s="6">
        <v>74</v>
      </c>
      <c r="E43" s="6">
        <v>74</v>
      </c>
      <c r="F43" s="21">
        <f>SUMIF(Ajustes!$A$3:$A$150,Medicamentos!B43,Ajustes!$C$3:$C$150)+SUMIF(Ajustes!$A$3:$A$150,Medicamentos!B43,Ajustes!$E$3:$E$150)</f>
        <v>0</v>
      </c>
      <c r="G43" s="44">
        <f t="shared" si="2"/>
        <v>0</v>
      </c>
      <c r="H43" s="45">
        <f t="shared" si="3"/>
        <v>0</v>
      </c>
      <c r="I43" s="22" t="str">
        <f>IF(AND(D43="0",E43="0"),"SI",IF(COUNTIF(Ajustes!$A$3:$A$150,B43),"SI",IF(AND(D43=0,E43=0,NOT(ISBLANK(D43)),NOT(ISBLANK(E43))),"SI","")))</f>
        <v>SI</v>
      </c>
    </row>
    <row r="44" spans="1:9" x14ac:dyDescent="0.3">
      <c r="A44" s="43" t="s">
        <v>65</v>
      </c>
      <c r="B44" s="43" t="s">
        <v>71</v>
      </c>
      <c r="C44" s="9">
        <v>45929</v>
      </c>
      <c r="D44" s="6">
        <v>36</v>
      </c>
      <c r="E44" s="6">
        <v>38</v>
      </c>
      <c r="F44" s="21">
        <f>SUMIF(Ajustes!$A$3:$A$150,Medicamentos!B44,Ajustes!$C$3:$C$150)+SUMIF(Ajustes!$A$3:$A$150,Medicamentos!B44,Ajustes!$E$3:$E$150)</f>
        <v>172732.91</v>
      </c>
      <c r="G44" s="44">
        <f t="shared" si="2"/>
        <v>2</v>
      </c>
      <c r="H44" s="45">
        <f t="shared" si="3"/>
        <v>0</v>
      </c>
      <c r="I44" s="22" t="str">
        <f>IF(AND(D44="0",E44="0"),"SI",IF(COUNTIF(Ajustes!$A$3:$A$150,B44),"SI",IF(AND(D44=0,E44=0,NOT(ISBLANK(D44)),NOT(ISBLANK(E44))),"SI","")))</f>
        <v>SI</v>
      </c>
    </row>
    <row r="45" spans="1:9" x14ac:dyDescent="0.3">
      <c r="A45" s="43" t="s">
        <v>65</v>
      </c>
      <c r="B45" s="43" t="s">
        <v>72</v>
      </c>
      <c r="C45" s="9">
        <v>45953</v>
      </c>
      <c r="D45" s="6">
        <v>68</v>
      </c>
      <c r="E45" s="6">
        <v>65</v>
      </c>
      <c r="F45" s="21">
        <f>SUMIF(Ajustes!$A$3:$A$150,Medicamentos!B45,Ajustes!$C$3:$C$150)+SUMIF(Ajustes!$A$3:$A$150,Medicamentos!B45,Ajustes!$E$3:$E$150)</f>
        <v>-72186.81</v>
      </c>
      <c r="G45" s="44">
        <f t="shared" si="2"/>
        <v>-3</v>
      </c>
      <c r="H45" s="45">
        <f t="shared" si="3"/>
        <v>0</v>
      </c>
      <c r="I45" s="22" t="str">
        <f>IF(AND(D45="0",E45="0"),"SI",IF(COUNTIF(Ajustes!$A$3:$A$150,B45),"SI",IF(AND(D45=0,E45=0,NOT(ISBLANK(D45)),NOT(ISBLANK(E45))),"SI","")))</f>
        <v>SI</v>
      </c>
    </row>
    <row r="46" spans="1:9" x14ac:dyDescent="0.3">
      <c r="A46" s="43" t="s">
        <v>65</v>
      </c>
      <c r="B46" s="43" t="s">
        <v>73</v>
      </c>
      <c r="C46" s="9">
        <v>45953</v>
      </c>
      <c r="D46" s="6">
        <v>33</v>
      </c>
      <c r="E46" s="6">
        <v>31</v>
      </c>
      <c r="F46" s="21">
        <f>SUMIF(Ajustes!$A$3:$A$150,Medicamentos!B46,Ajustes!$C$3:$C$150)+SUMIF(Ajustes!$A$3:$A$150,Medicamentos!B46,Ajustes!$E$3:$E$150)</f>
        <v>-55025.06</v>
      </c>
      <c r="G46" s="44">
        <f t="shared" si="2"/>
        <v>-2</v>
      </c>
      <c r="H46" s="45">
        <f t="shared" si="3"/>
        <v>0</v>
      </c>
      <c r="I46" s="22" t="str">
        <f>IF(AND(D46="0",E46="0"),"SI",IF(COUNTIF(Ajustes!$A$3:$A$150,B46),"SI",IF(AND(D46=0,E46=0,NOT(ISBLANK(D46)),NOT(ISBLANK(E46))),"SI","")))</f>
        <v>SI</v>
      </c>
    </row>
    <row r="47" spans="1:9" x14ac:dyDescent="0.3">
      <c r="A47" s="43" t="s">
        <v>65</v>
      </c>
      <c r="B47" s="43" t="s">
        <v>74</v>
      </c>
      <c r="C47" s="9">
        <v>45922</v>
      </c>
      <c r="D47" s="6">
        <v>62</v>
      </c>
      <c r="E47" s="6">
        <v>62</v>
      </c>
      <c r="F47" s="21">
        <f>SUMIF(Ajustes!$A$3:$A$150,Medicamentos!B47,Ajustes!$C$3:$C$150)+SUMIF(Ajustes!$A$3:$A$150,Medicamentos!B47,Ajustes!$E$3:$E$150)</f>
        <v>227011.62</v>
      </c>
      <c r="G47" s="44">
        <f t="shared" si="2"/>
        <v>0</v>
      </c>
      <c r="H47" s="45">
        <f t="shared" si="3"/>
        <v>0</v>
      </c>
      <c r="I47" s="22" t="str">
        <f>IF(AND(D47="0",E47="0"),"SI",IF(COUNTIF(Ajustes!$A$3:$A$150,B47),"SI",IF(AND(D47=0,E47=0,NOT(ISBLANK(D47)),NOT(ISBLANK(E47))),"SI","")))</f>
        <v>SI</v>
      </c>
    </row>
    <row r="48" spans="1:9" x14ac:dyDescent="0.3">
      <c r="A48" s="43" t="s">
        <v>65</v>
      </c>
      <c r="B48" s="43" t="s">
        <v>75</v>
      </c>
      <c r="C48" s="9">
        <v>45927</v>
      </c>
      <c r="D48" s="6">
        <v>111</v>
      </c>
      <c r="E48" s="6">
        <v>115</v>
      </c>
      <c r="F48" s="21">
        <f>SUMIF(Ajustes!$A$3:$A$150,Medicamentos!B48,Ajustes!$C$3:$C$150)+SUMIF(Ajustes!$A$3:$A$150,Medicamentos!B48,Ajustes!$E$3:$E$150)</f>
        <v>27982.160000000003</v>
      </c>
      <c r="G48" s="44">
        <f t="shared" si="2"/>
        <v>4</v>
      </c>
      <c r="H48" s="45">
        <f t="shared" si="3"/>
        <v>0</v>
      </c>
      <c r="I48" s="22" t="str">
        <f>IF(AND(D48="0",E48="0"),"SI",IF(COUNTIF(Ajustes!$A$3:$A$150,B48),"SI",IF(AND(D48=0,E48=0,NOT(ISBLANK(D48)),NOT(ISBLANK(E48))),"SI","")))</f>
        <v>SI</v>
      </c>
    </row>
    <row r="49" spans="1:9" x14ac:dyDescent="0.3">
      <c r="A49" s="43" t="s">
        <v>65</v>
      </c>
      <c r="B49" s="43" t="s">
        <v>76</v>
      </c>
      <c r="C49" s="9">
        <v>45922</v>
      </c>
      <c r="D49" s="6">
        <v>16</v>
      </c>
      <c r="E49" s="6">
        <v>16</v>
      </c>
      <c r="F49" s="21">
        <f>SUMIF(Ajustes!$A$3:$A$150,Medicamentos!B49,Ajustes!$C$3:$C$150)+SUMIF(Ajustes!$A$3:$A$150,Medicamentos!B49,Ajustes!$E$3:$E$150)</f>
        <v>0</v>
      </c>
      <c r="G49" s="44">
        <f t="shared" si="2"/>
        <v>0</v>
      </c>
      <c r="H49" s="45">
        <f t="shared" si="3"/>
        <v>0</v>
      </c>
      <c r="I49" s="22" t="str">
        <f>IF(AND(D49="0",E49="0"),"SI",IF(COUNTIF(Ajustes!$A$3:$A$150,B49),"SI",IF(AND(D49=0,E49=0,NOT(ISBLANK(D49)),NOT(ISBLANK(E49))),"SI","")))</f>
        <v>SI</v>
      </c>
    </row>
    <row r="50" spans="1:9" x14ac:dyDescent="0.3">
      <c r="A50" s="43" t="s">
        <v>65</v>
      </c>
      <c r="B50" s="43" t="s">
        <v>77</v>
      </c>
      <c r="C50" s="9">
        <v>45950</v>
      </c>
      <c r="D50" s="6">
        <v>31</v>
      </c>
      <c r="E50" s="6">
        <v>31</v>
      </c>
      <c r="F50" s="21">
        <f>SUMIF(Ajustes!$A$3:$A$150,Medicamentos!B50,Ajustes!$C$3:$C$150)+SUMIF(Ajustes!$A$3:$A$150,Medicamentos!B50,Ajustes!$E$3:$E$150)</f>
        <v>0</v>
      </c>
      <c r="G50" s="44">
        <f t="shared" si="2"/>
        <v>0</v>
      </c>
      <c r="H50" s="45">
        <f t="shared" si="3"/>
        <v>0</v>
      </c>
      <c r="I50" s="22" t="str">
        <f>IF(AND(D50="0",E50="0"),"SI",IF(COUNTIF(Ajustes!$A$3:$A$150,B50),"SI",IF(AND(D50=0,E50=0,NOT(ISBLANK(D50)),NOT(ISBLANK(E50))),"SI","")))</f>
        <v/>
      </c>
    </row>
    <row r="51" spans="1:9" x14ac:dyDescent="0.3">
      <c r="A51" s="43" t="s">
        <v>65</v>
      </c>
      <c r="B51" s="43" t="s">
        <v>78</v>
      </c>
      <c r="C51" s="9">
        <v>45950</v>
      </c>
      <c r="D51" s="6">
        <v>7</v>
      </c>
      <c r="E51" s="6">
        <v>7</v>
      </c>
      <c r="F51" s="21">
        <f>SUMIF(Ajustes!$A$3:$A$150,Medicamentos!B51,Ajustes!$C$3:$C$150)+SUMIF(Ajustes!$A$3:$A$150,Medicamentos!B51,Ajustes!$E$3:$E$150)</f>
        <v>2412.7999999999993</v>
      </c>
      <c r="G51" s="44">
        <f t="shared" si="2"/>
        <v>0</v>
      </c>
      <c r="H51" s="45">
        <f t="shared" si="3"/>
        <v>0</v>
      </c>
      <c r="I51" s="22" t="str">
        <f>IF(AND(D51="0",E51="0"),"SI",IF(COUNTIF(Ajustes!$A$3:$A$150,B51),"SI",IF(AND(D51=0,E51=0,NOT(ISBLANK(D51)),NOT(ISBLANK(E51))),"SI","")))</f>
        <v>SI</v>
      </c>
    </row>
    <row r="52" spans="1:9" x14ac:dyDescent="0.3">
      <c r="A52" s="43" t="s">
        <v>65</v>
      </c>
      <c r="B52" s="43" t="s">
        <v>79</v>
      </c>
      <c r="C52" s="9">
        <v>45927</v>
      </c>
      <c r="D52" s="6">
        <v>13</v>
      </c>
      <c r="E52" s="6">
        <v>12</v>
      </c>
      <c r="F52" s="21">
        <f>SUMIF(Ajustes!$A$3:$A$150,Medicamentos!B52,Ajustes!$C$3:$C$150)+SUMIF(Ajustes!$A$3:$A$150,Medicamentos!B52,Ajustes!$E$3:$E$150)</f>
        <v>-19034.509999999998</v>
      </c>
      <c r="G52" s="44">
        <f t="shared" si="2"/>
        <v>-1</v>
      </c>
      <c r="H52" s="45">
        <f t="shared" si="3"/>
        <v>0</v>
      </c>
      <c r="I52" s="22" t="str">
        <f>IF(AND(D52="0",E52="0"),"SI",IF(COUNTIF(Ajustes!$A$3:$A$150,B52),"SI",IF(AND(D52=0,E52=0,NOT(ISBLANK(D52)),NOT(ISBLANK(E52))),"SI","")))</f>
        <v>SI</v>
      </c>
    </row>
    <row r="53" spans="1:9" x14ac:dyDescent="0.3">
      <c r="A53" s="43" t="s">
        <v>65</v>
      </c>
      <c r="B53" s="43" t="s">
        <v>80</v>
      </c>
      <c r="C53" s="9">
        <v>45924</v>
      </c>
      <c r="D53" s="6">
        <v>41</v>
      </c>
      <c r="E53" s="6">
        <v>41</v>
      </c>
      <c r="F53" s="21">
        <f>SUMIF(Ajustes!$A$3:$A$150,Medicamentos!B53,Ajustes!$C$3:$C$150)+SUMIF(Ajustes!$A$3:$A$150,Medicamentos!B53,Ajustes!$E$3:$E$150)</f>
        <v>0</v>
      </c>
      <c r="G53" s="44">
        <f t="shared" si="2"/>
        <v>0</v>
      </c>
      <c r="H53" s="45">
        <f t="shared" si="3"/>
        <v>0</v>
      </c>
      <c r="I53" s="22" t="str">
        <f>IF(AND(D53="0",E53="0"),"SI",IF(COUNTIF(Ajustes!$A$3:$A$150,B53),"SI",IF(AND(D53=0,E53=0,NOT(ISBLANK(D53)),NOT(ISBLANK(E53))),"SI","")))</f>
        <v>SI</v>
      </c>
    </row>
    <row r="54" spans="1:9" x14ac:dyDescent="0.3">
      <c r="A54" s="43" t="s">
        <v>65</v>
      </c>
      <c r="B54" s="43" t="s">
        <v>81</v>
      </c>
      <c r="C54" s="9">
        <v>45952</v>
      </c>
      <c r="D54" s="5">
        <v>99</v>
      </c>
      <c r="E54" s="5">
        <v>103</v>
      </c>
      <c r="F54" s="21">
        <f>SUMIF(Ajustes!$A$3:$A$150,Medicamentos!B54,Ajustes!$C$3:$C$150)+SUMIF(Ajustes!$A$3:$A$150,Medicamentos!B54,Ajustes!$E$3:$E$150)</f>
        <v>106688.92000000001</v>
      </c>
      <c r="G54" s="44">
        <f t="shared" si="2"/>
        <v>4</v>
      </c>
      <c r="H54" s="45">
        <f t="shared" si="3"/>
        <v>0</v>
      </c>
      <c r="I54" s="22" t="str">
        <f>IF(AND(D54="0",E54="0"),"SI",IF(COUNTIF(Ajustes!$A$3:$A$150,B54),"SI",IF(AND(D54=0,E54=0,NOT(ISBLANK(D54)),NOT(ISBLANK(E54))),"SI","")))</f>
        <v>SI</v>
      </c>
    </row>
    <row r="55" spans="1:9" x14ac:dyDescent="0.3">
      <c r="A55" s="43" t="s">
        <v>65</v>
      </c>
      <c r="B55" s="43" t="s">
        <v>82</v>
      </c>
      <c r="C55" s="9">
        <v>45923</v>
      </c>
      <c r="D55" s="6">
        <v>12</v>
      </c>
      <c r="E55" s="6">
        <v>12</v>
      </c>
      <c r="F55" s="21">
        <f>SUMIF(Ajustes!$A$3:$A$150,Medicamentos!B55,Ajustes!$C$3:$C$150)+SUMIF(Ajustes!$A$3:$A$150,Medicamentos!B55,Ajustes!$E$3:$E$150)</f>
        <v>0</v>
      </c>
      <c r="G55" s="44">
        <f t="shared" si="2"/>
        <v>0</v>
      </c>
      <c r="H55" s="45">
        <f t="shared" si="3"/>
        <v>0</v>
      </c>
      <c r="I55" s="22" t="str">
        <f>IF(AND(D55="0",E55="0"),"SI",IF(COUNTIF(Ajustes!$A$3:$A$150,B55),"SI",IF(AND(D55=0,E55=0,NOT(ISBLANK(D55)),NOT(ISBLANK(E55))),"SI","")))</f>
        <v>SI</v>
      </c>
    </row>
    <row r="56" spans="1:9" x14ac:dyDescent="0.3">
      <c r="A56" s="43" t="s">
        <v>65</v>
      </c>
      <c r="B56" s="43" t="s">
        <v>83</v>
      </c>
      <c r="C56" s="9">
        <v>45951</v>
      </c>
      <c r="D56" s="5">
        <v>183</v>
      </c>
      <c r="E56" s="5">
        <v>184</v>
      </c>
      <c r="F56" s="21">
        <f>SUMIF(Ajustes!$A$3:$A$150,Medicamentos!B56,Ajustes!$C$3:$C$150)+SUMIF(Ajustes!$A$3:$A$150,Medicamentos!B56,Ajustes!$E$3:$E$150)</f>
        <v>-93393.48000000001</v>
      </c>
      <c r="G56" s="44">
        <f t="shared" si="2"/>
        <v>1</v>
      </c>
      <c r="H56" s="45">
        <f t="shared" si="3"/>
        <v>0</v>
      </c>
      <c r="I56" s="22" t="str">
        <f>IF(AND(D56="0",E56="0"),"SI",IF(COUNTIF(Ajustes!$A$3:$A$150,B56),"SI",IF(AND(D56=0,E56=0,NOT(ISBLANK(D56)),NOT(ISBLANK(E56))),"SI","")))</f>
        <v>SI</v>
      </c>
    </row>
    <row r="57" spans="1:9" x14ac:dyDescent="0.3">
      <c r="A57" s="43" t="s">
        <v>65</v>
      </c>
      <c r="B57" s="43" t="s">
        <v>84</v>
      </c>
      <c r="C57" s="9">
        <v>45927</v>
      </c>
      <c r="D57" s="5">
        <v>74</v>
      </c>
      <c r="E57" s="5">
        <v>72</v>
      </c>
      <c r="F57" s="21">
        <f>SUMIF(Ajustes!$A$3:$A$150,Medicamentos!B57,Ajustes!$C$3:$C$150)+SUMIF(Ajustes!$A$3:$A$150,Medicamentos!B57,Ajustes!$E$3:$E$150)</f>
        <v>-115293.47</v>
      </c>
      <c r="G57" s="44">
        <f t="shared" si="2"/>
        <v>-2</v>
      </c>
      <c r="H57" s="45">
        <f t="shared" si="3"/>
        <v>0</v>
      </c>
      <c r="I57" s="22" t="str">
        <f>IF(AND(D57="0",E57="0"),"SI",IF(COUNTIF(Ajustes!$A$3:$A$150,B57),"SI",IF(AND(D57=0,E57=0,NOT(ISBLANK(D57)),NOT(ISBLANK(E57))),"SI","")))</f>
        <v>SI</v>
      </c>
    </row>
    <row r="58" spans="1:9" x14ac:dyDescent="0.3">
      <c r="A58" s="43" t="s">
        <v>65</v>
      </c>
      <c r="B58" s="43" t="s">
        <v>85</v>
      </c>
      <c r="C58" s="9">
        <v>45950</v>
      </c>
      <c r="D58" s="6">
        <v>13</v>
      </c>
      <c r="E58" s="6">
        <v>10</v>
      </c>
      <c r="F58" s="21">
        <f>SUMIF(Ajustes!$A$3:$A$150,Medicamentos!B58,Ajustes!$C$3:$C$150)+SUMIF(Ajustes!$A$3:$A$150,Medicamentos!B58,Ajustes!$E$3:$E$150)</f>
        <v>-35999.699999999997</v>
      </c>
      <c r="G58" s="44">
        <f t="shared" si="2"/>
        <v>-3</v>
      </c>
      <c r="H58" s="45">
        <f t="shared" si="3"/>
        <v>0</v>
      </c>
      <c r="I58" s="22" t="str">
        <f>IF(AND(D58="0",E58="0"),"SI",IF(COUNTIF(Ajustes!$A$3:$A$150,B58),"SI",IF(AND(D58=0,E58=0,NOT(ISBLANK(D58)),NOT(ISBLANK(E58))),"SI","")))</f>
        <v>SI</v>
      </c>
    </row>
    <row r="59" spans="1:9" x14ac:dyDescent="0.3">
      <c r="A59" s="43" t="s">
        <v>65</v>
      </c>
      <c r="B59" s="43" t="s">
        <v>86</v>
      </c>
      <c r="C59" s="9">
        <v>45930</v>
      </c>
      <c r="D59" s="6">
        <v>30</v>
      </c>
      <c r="E59" s="6">
        <v>30</v>
      </c>
      <c r="F59" s="21">
        <f>SUMIF(Ajustes!$A$3:$A$150,Medicamentos!B59,Ajustes!$C$3:$C$150)+SUMIF(Ajustes!$A$3:$A$150,Medicamentos!B59,Ajustes!$E$3:$E$150)</f>
        <v>0</v>
      </c>
      <c r="G59" s="44">
        <f t="shared" si="2"/>
        <v>0</v>
      </c>
      <c r="H59" s="45">
        <f t="shared" si="3"/>
        <v>0</v>
      </c>
      <c r="I59" s="22" t="str">
        <f>IF(AND(D59="0",E59="0"),"SI",IF(COUNTIF(Ajustes!$A$3:$A$150,B59),"SI",IF(AND(D59=0,E59=0,NOT(ISBLANK(D59)),NOT(ISBLANK(E59))),"SI","")))</f>
        <v>SI</v>
      </c>
    </row>
    <row r="60" spans="1:9" x14ac:dyDescent="0.3">
      <c r="A60" s="43" t="s">
        <v>65</v>
      </c>
      <c r="B60" s="43" t="s">
        <v>87</v>
      </c>
      <c r="C60" s="9">
        <v>45950</v>
      </c>
      <c r="D60" s="6">
        <v>97</v>
      </c>
      <c r="E60" s="6">
        <v>70</v>
      </c>
      <c r="F60" s="21">
        <f>SUMIF(Ajustes!$A$3:$A$150,Medicamentos!B60,Ajustes!$C$3:$C$150)+SUMIF(Ajustes!$A$3:$A$150,Medicamentos!B60,Ajustes!$E$3:$E$150)</f>
        <v>-76750</v>
      </c>
      <c r="G60" s="44">
        <f t="shared" si="2"/>
        <v>-27</v>
      </c>
      <c r="H60" s="45">
        <f t="shared" si="3"/>
        <v>0</v>
      </c>
      <c r="I60" s="22" t="str">
        <f>IF(AND(D60="0",E60="0"),"SI",IF(COUNTIF(Ajustes!$A$3:$A$150,B60),"SI",IF(AND(D60=0,E60=0,NOT(ISBLANK(D60)),NOT(ISBLANK(E60))),"SI","")))</f>
        <v>SI</v>
      </c>
    </row>
    <row r="61" spans="1:9" x14ac:dyDescent="0.3">
      <c r="A61" s="43" t="s">
        <v>65</v>
      </c>
      <c r="B61" s="43" t="s">
        <v>88</v>
      </c>
      <c r="C61" s="9">
        <v>45922</v>
      </c>
      <c r="D61" s="6">
        <v>96</v>
      </c>
      <c r="E61" s="6">
        <v>93</v>
      </c>
      <c r="F61" s="21">
        <f>SUMIF(Ajustes!$A$3:$A$150,Medicamentos!B61,Ajustes!$C$3:$C$150)+SUMIF(Ajustes!$A$3:$A$150,Medicamentos!B61,Ajustes!$E$3:$E$150)</f>
        <v>-14937.21</v>
      </c>
      <c r="G61" s="44">
        <f t="shared" si="2"/>
        <v>-3</v>
      </c>
      <c r="H61" s="45">
        <f t="shared" si="3"/>
        <v>0</v>
      </c>
      <c r="I61" s="22" t="str">
        <f>IF(AND(D61="0",E61="0"),"SI",IF(COUNTIF(Ajustes!$A$3:$A$150,B61),"SI",IF(AND(D61=0,E61=0,NOT(ISBLANK(D61)),NOT(ISBLANK(E61))),"SI","")))</f>
        <v>SI</v>
      </c>
    </row>
    <row r="62" spans="1:9" x14ac:dyDescent="0.3">
      <c r="A62" s="43" t="s">
        <v>65</v>
      </c>
      <c r="B62" s="43" t="s">
        <v>89</v>
      </c>
      <c r="C62" s="9">
        <v>45951</v>
      </c>
      <c r="D62" s="6">
        <v>131</v>
      </c>
      <c r="E62" s="6">
        <v>134</v>
      </c>
      <c r="F62" s="21">
        <f>SUMIF(Ajustes!$A$3:$A$150,Medicamentos!B62,Ajustes!$C$3:$C$150)+SUMIF(Ajustes!$A$3:$A$150,Medicamentos!B62,Ajustes!$E$3:$E$150)</f>
        <v>218834.45</v>
      </c>
      <c r="G62" s="44">
        <f t="shared" si="2"/>
        <v>3</v>
      </c>
      <c r="H62" s="45">
        <f t="shared" si="3"/>
        <v>0</v>
      </c>
      <c r="I62" s="22" t="str">
        <f>IF(AND(D62="0",E62="0"),"SI",IF(COUNTIF(Ajustes!$A$3:$A$150,B62),"SI",IF(AND(D62=0,E62=0,NOT(ISBLANK(D62)),NOT(ISBLANK(E62))),"SI","")))</f>
        <v>SI</v>
      </c>
    </row>
    <row r="63" spans="1:9" x14ac:dyDescent="0.3">
      <c r="A63" s="43" t="s">
        <v>65</v>
      </c>
      <c r="B63" s="43" t="s">
        <v>90</v>
      </c>
      <c r="C63" s="9">
        <v>45922</v>
      </c>
      <c r="D63" s="6">
        <v>42</v>
      </c>
      <c r="E63" s="6">
        <v>41</v>
      </c>
      <c r="F63" s="21">
        <f>SUMIF(Ajustes!$A$3:$A$150,Medicamentos!B63,Ajustes!$C$3:$C$150)+SUMIF(Ajustes!$A$3:$A$150,Medicamentos!B63,Ajustes!$E$3:$E$150)</f>
        <v>-32040.43</v>
      </c>
      <c r="G63" s="44">
        <f t="shared" si="2"/>
        <v>-1</v>
      </c>
      <c r="H63" s="45">
        <f t="shared" si="3"/>
        <v>0</v>
      </c>
      <c r="I63" s="22" t="str">
        <f>IF(AND(D63="0",E63="0"),"SI",IF(COUNTIF(Ajustes!$A$3:$A$150,B63),"SI",IF(AND(D63=0,E63=0,NOT(ISBLANK(D63)),NOT(ISBLANK(E63))),"SI","")))</f>
        <v>SI</v>
      </c>
    </row>
    <row r="64" spans="1:9" x14ac:dyDescent="0.3">
      <c r="A64" s="43" t="s">
        <v>65</v>
      </c>
      <c r="B64" s="43" t="s">
        <v>91</v>
      </c>
      <c r="C64" s="9">
        <v>45950</v>
      </c>
      <c r="D64" s="6">
        <v>19</v>
      </c>
      <c r="E64" s="6">
        <v>19</v>
      </c>
      <c r="F64" s="21">
        <f>SUMIF(Ajustes!$A$3:$A$150,Medicamentos!B64,Ajustes!$C$3:$C$150)+SUMIF(Ajustes!$A$3:$A$150,Medicamentos!B64,Ajustes!$E$3:$E$150)</f>
        <v>0</v>
      </c>
      <c r="G64" s="44">
        <f t="shared" si="2"/>
        <v>0</v>
      </c>
      <c r="H64" s="45">
        <f t="shared" si="3"/>
        <v>0</v>
      </c>
      <c r="I64" s="22" t="str">
        <f>IF(AND(D64="0",E64="0"),"SI",IF(COUNTIF(Ajustes!$A$3:$A$150,B64),"SI",IF(AND(D64=0,E64=0,NOT(ISBLANK(D64)),NOT(ISBLANK(E64))),"SI","")))</f>
        <v>SI</v>
      </c>
    </row>
    <row r="65" spans="1:9" x14ac:dyDescent="0.3">
      <c r="A65" s="43" t="s">
        <v>65</v>
      </c>
      <c r="B65" s="43" t="s">
        <v>92</v>
      </c>
      <c r="C65" s="9">
        <v>45930</v>
      </c>
      <c r="D65" s="6">
        <v>16</v>
      </c>
      <c r="E65" s="6">
        <v>16</v>
      </c>
      <c r="F65" s="21">
        <f>SUMIF(Ajustes!$A$3:$A$150,Medicamentos!B65,Ajustes!$C$3:$C$150)+SUMIF(Ajustes!$A$3:$A$150,Medicamentos!B65,Ajustes!$E$3:$E$150)</f>
        <v>0</v>
      </c>
      <c r="G65" s="44">
        <f t="shared" si="2"/>
        <v>0</v>
      </c>
      <c r="H65" s="45">
        <f t="shared" si="3"/>
        <v>0</v>
      </c>
      <c r="I65" s="22" t="str">
        <f>IF(AND(D65="0",E65="0"),"SI",IF(COUNTIF(Ajustes!$A$3:$A$150,B65),"SI",IF(AND(D65=0,E65=0,NOT(ISBLANK(D65)),NOT(ISBLANK(E65))),"SI","")))</f>
        <v>SI</v>
      </c>
    </row>
    <row r="66" spans="1:9" x14ac:dyDescent="0.3">
      <c r="A66" s="43" t="s">
        <v>65</v>
      </c>
      <c r="B66" s="43" t="s">
        <v>93</v>
      </c>
      <c r="C66" s="9">
        <v>45932</v>
      </c>
      <c r="D66" s="6">
        <v>11</v>
      </c>
      <c r="E66" s="6">
        <v>11</v>
      </c>
      <c r="F66" s="21">
        <f>SUMIF(Ajustes!$A$3:$A$150,Medicamentos!B66,Ajustes!$C$3:$C$150)+SUMIF(Ajustes!$A$3:$A$150,Medicamentos!B66,Ajustes!$E$3:$E$150)</f>
        <v>0</v>
      </c>
      <c r="G66" s="44">
        <f t="shared" si="2"/>
        <v>0</v>
      </c>
      <c r="H66" s="45">
        <f t="shared" si="3"/>
        <v>0</v>
      </c>
      <c r="I66" s="22" t="str">
        <f>IF(AND(D66="0",E66="0"),"SI",IF(COUNTIF(Ajustes!$A$3:$A$150,B66),"SI",IF(AND(D66=0,E66=0,NOT(ISBLANK(D66)),NOT(ISBLANK(E66))),"SI","")))</f>
        <v>SI</v>
      </c>
    </row>
    <row r="67" spans="1:9" x14ac:dyDescent="0.3">
      <c r="A67" s="43" t="s">
        <v>65</v>
      </c>
      <c r="B67" s="43" t="s">
        <v>94</v>
      </c>
      <c r="C67" s="9">
        <v>45944</v>
      </c>
      <c r="D67" s="6">
        <v>0</v>
      </c>
      <c r="E67" s="6">
        <v>0</v>
      </c>
      <c r="F67" s="21">
        <f>SUMIF(Ajustes!$A$3:$A$150,Medicamentos!B67,Ajustes!$C$3:$C$150)+SUMIF(Ajustes!$A$3:$A$150,Medicamentos!B67,Ajustes!$E$3:$E$150)</f>
        <v>0</v>
      </c>
      <c r="G67" s="44">
        <f t="shared" si="2"/>
        <v>0</v>
      </c>
      <c r="H67" s="45">
        <f t="shared" si="3"/>
        <v>0</v>
      </c>
      <c r="I67" s="22" t="str">
        <f>IF(AND(D67="0",E67="0"),"SI",IF(COUNTIF(Ajustes!$A$3:$A$150,B67),"SI",IF(AND(D67=0,E67=0,NOT(ISBLANK(D67)),NOT(ISBLANK(E67))),"SI","")))</f>
        <v>SI</v>
      </c>
    </row>
    <row r="68" spans="1:9" x14ac:dyDescent="0.3">
      <c r="A68" s="43" t="s">
        <v>65</v>
      </c>
      <c r="B68" s="43" t="s">
        <v>95</v>
      </c>
      <c r="C68" s="9">
        <v>45930</v>
      </c>
      <c r="D68" s="6">
        <v>0</v>
      </c>
      <c r="E68" s="6">
        <v>0</v>
      </c>
      <c r="F68" s="21">
        <f>SUMIF(Ajustes!$A$3:$A$150,Medicamentos!B68,Ajustes!$C$3:$C$150)+SUMIF(Ajustes!$A$3:$A$150,Medicamentos!B68,Ajustes!$E$3:$E$150)</f>
        <v>0</v>
      </c>
      <c r="G68" s="44">
        <f t="shared" si="2"/>
        <v>0</v>
      </c>
      <c r="H68" s="45">
        <f t="shared" si="3"/>
        <v>0</v>
      </c>
      <c r="I68" s="22" t="str">
        <f>IF(AND(D68="0",E68="0"),"SI",IF(COUNTIF(Ajustes!$A$3:$A$150,B68),"SI",IF(AND(D68=0,E68=0,NOT(ISBLANK(D68)),NOT(ISBLANK(E68))),"SI","")))</f>
        <v>SI</v>
      </c>
    </row>
    <row r="69" spans="1:9" x14ac:dyDescent="0.3">
      <c r="A69" s="43" t="s">
        <v>65</v>
      </c>
      <c r="B69" s="43" t="s">
        <v>96</v>
      </c>
      <c r="C69" s="9">
        <v>45923</v>
      </c>
      <c r="D69" s="6">
        <v>23</v>
      </c>
      <c r="E69" s="6">
        <v>22</v>
      </c>
      <c r="F69" s="21">
        <f>SUMIF(Ajustes!$A$3:$A$150,Medicamentos!B69,Ajustes!$C$3:$C$150)+SUMIF(Ajustes!$A$3:$A$150,Medicamentos!B69,Ajustes!$E$3:$E$150)</f>
        <v>-91610</v>
      </c>
      <c r="G69" s="44">
        <f t="shared" si="2"/>
        <v>-1</v>
      </c>
      <c r="H69" s="45">
        <f t="shared" si="3"/>
        <v>0</v>
      </c>
      <c r="I69" s="22" t="str">
        <f>IF(AND(D69="0",E69="0"),"SI",IF(COUNTIF(Ajustes!$A$3:$A$150,B69),"SI",IF(AND(D69=0,E69=0,NOT(ISBLANK(D69)),NOT(ISBLANK(E69))),"SI","")))</f>
        <v>SI</v>
      </c>
    </row>
    <row r="70" spans="1:9" x14ac:dyDescent="0.3">
      <c r="A70" s="43" t="s">
        <v>65</v>
      </c>
      <c r="B70" s="43" t="s">
        <v>97</v>
      </c>
      <c r="C70" s="9">
        <v>45922</v>
      </c>
      <c r="D70" s="6">
        <v>17</v>
      </c>
      <c r="E70" s="6">
        <v>17</v>
      </c>
      <c r="F70" s="21">
        <f>SUMIF(Ajustes!$A$3:$A$150,Medicamentos!B70,Ajustes!$C$3:$C$150)+SUMIF(Ajustes!$A$3:$A$150,Medicamentos!B70,Ajustes!$E$3:$E$150)</f>
        <v>0</v>
      </c>
      <c r="G70" s="44">
        <f t="shared" si="2"/>
        <v>0</v>
      </c>
      <c r="H70" s="45">
        <f t="shared" si="3"/>
        <v>0</v>
      </c>
      <c r="I70" s="22" t="str">
        <f>IF(AND(D70="0",E70="0"),"SI",IF(COUNTIF(Ajustes!$A$3:$A$150,B70),"SI",IF(AND(D70=0,E70=0,NOT(ISBLANK(D70)),NOT(ISBLANK(E70))),"SI","")))</f>
        <v>SI</v>
      </c>
    </row>
    <row r="71" spans="1:9" x14ac:dyDescent="0.3">
      <c r="A71" s="43" t="s">
        <v>65</v>
      </c>
      <c r="B71" s="43" t="s">
        <v>98</v>
      </c>
      <c r="C71" s="9">
        <v>45923</v>
      </c>
      <c r="D71" s="6">
        <v>13</v>
      </c>
      <c r="E71" s="6">
        <v>13</v>
      </c>
      <c r="F71" s="21">
        <f>SUMIF(Ajustes!$A$3:$A$150,Medicamentos!B71,Ajustes!$C$3:$C$150)+SUMIF(Ajustes!$A$3:$A$150,Medicamentos!B71,Ajustes!$E$3:$E$150)</f>
        <v>0</v>
      </c>
      <c r="G71" s="44">
        <f t="shared" si="2"/>
        <v>0</v>
      </c>
      <c r="H71" s="45">
        <f t="shared" si="3"/>
        <v>0</v>
      </c>
      <c r="I71" s="22" t="str">
        <f>IF(AND(D71="0",E71="0"),"SI",IF(COUNTIF(Ajustes!$A$3:$A$150,B71),"SI",IF(AND(D71=0,E71=0,NOT(ISBLANK(D71)),NOT(ISBLANK(E71))),"SI","")))</f>
        <v>SI</v>
      </c>
    </row>
    <row r="72" spans="1:9" x14ac:dyDescent="0.3">
      <c r="A72" s="43" t="s">
        <v>65</v>
      </c>
      <c r="B72" s="43" t="s">
        <v>99</v>
      </c>
      <c r="C72" s="9">
        <v>45924</v>
      </c>
      <c r="D72" s="6">
        <v>56</v>
      </c>
      <c r="E72" s="6">
        <v>56</v>
      </c>
      <c r="F72" s="21">
        <f>SUMIF(Ajustes!$A$3:$A$150,Medicamentos!B72,Ajustes!$C$3:$C$150)+SUMIF(Ajustes!$A$3:$A$150,Medicamentos!B72,Ajustes!$E$3:$E$150)</f>
        <v>0</v>
      </c>
      <c r="G72" s="44">
        <f t="shared" si="2"/>
        <v>0</v>
      </c>
      <c r="H72" s="45">
        <f t="shared" si="3"/>
        <v>0</v>
      </c>
      <c r="I72" s="22" t="str">
        <f>IF(AND(D72="0",E72="0"),"SI",IF(COUNTIF(Ajustes!$A$3:$A$150,B72),"SI",IF(AND(D72=0,E72=0,NOT(ISBLANK(D72)),NOT(ISBLANK(E72))),"SI","")))</f>
        <v>SI</v>
      </c>
    </row>
    <row r="73" spans="1:9" x14ac:dyDescent="0.3">
      <c r="A73" s="43" t="s">
        <v>65</v>
      </c>
      <c r="B73" s="43" t="s">
        <v>100</v>
      </c>
      <c r="C73" s="9">
        <v>45922</v>
      </c>
      <c r="D73" s="6">
        <v>59</v>
      </c>
      <c r="E73" s="6">
        <v>51</v>
      </c>
      <c r="F73" s="21">
        <f>SUMIF(Ajustes!$A$3:$A$150,Medicamentos!B73,Ajustes!$C$3:$C$150)+SUMIF(Ajustes!$A$3:$A$150,Medicamentos!B73,Ajustes!$E$3:$E$150)</f>
        <v>-56500</v>
      </c>
      <c r="G73" s="44">
        <f t="shared" si="2"/>
        <v>-8</v>
      </c>
      <c r="H73" s="45">
        <f t="shared" si="3"/>
        <v>0</v>
      </c>
      <c r="I73" s="22" t="str">
        <f>IF(AND(D73="0",E73="0"),"SI",IF(COUNTIF(Ajustes!$A$3:$A$150,B73),"SI",IF(AND(D73=0,E73=0,NOT(ISBLANK(D73)),NOT(ISBLANK(E73))),"SI","")))</f>
        <v>SI</v>
      </c>
    </row>
    <row r="74" spans="1:9" x14ac:dyDescent="0.3">
      <c r="A74" s="43" t="s">
        <v>65</v>
      </c>
      <c r="B74" s="43" t="s">
        <v>101</v>
      </c>
      <c r="C74" s="9">
        <v>45927</v>
      </c>
      <c r="D74" s="6">
        <v>12</v>
      </c>
      <c r="E74" s="6">
        <v>12</v>
      </c>
      <c r="F74" s="21">
        <f>SUMIF(Ajustes!$A$3:$A$150,Medicamentos!B74,Ajustes!$C$3:$C$150)+SUMIF(Ajustes!$A$3:$A$150,Medicamentos!B74,Ajustes!$E$3:$E$150)</f>
        <v>0</v>
      </c>
      <c r="G74" s="44">
        <f t="shared" si="2"/>
        <v>0</v>
      </c>
      <c r="H74" s="45">
        <f t="shared" si="3"/>
        <v>0</v>
      </c>
      <c r="I74" s="22" t="str">
        <f>IF(AND(D74="0",E74="0"),"SI",IF(COUNTIF(Ajustes!$A$3:$A$150,B74),"SI",IF(AND(D74=0,E74=0,NOT(ISBLANK(D74)),NOT(ISBLANK(E74))),"SI","")))</f>
        <v>SI</v>
      </c>
    </row>
    <row r="75" spans="1:9" x14ac:dyDescent="0.3">
      <c r="A75" s="43" t="s">
        <v>65</v>
      </c>
      <c r="B75" s="43" t="s">
        <v>102</v>
      </c>
      <c r="C75" s="9">
        <v>45950</v>
      </c>
      <c r="D75" s="6">
        <v>17</v>
      </c>
      <c r="E75" s="6">
        <v>18</v>
      </c>
      <c r="F75" s="21">
        <f>SUMIF(Ajustes!$A$3:$A$150,Medicamentos!B75,Ajustes!$C$3:$C$150)+SUMIF(Ajustes!$A$3:$A$150,Medicamentos!B75,Ajustes!$E$3:$E$150)</f>
        <v>7029</v>
      </c>
      <c r="G75" s="44">
        <f t="shared" si="2"/>
        <v>1</v>
      </c>
      <c r="H75" s="45">
        <f t="shared" si="3"/>
        <v>0</v>
      </c>
      <c r="I75" s="22" t="str">
        <f>IF(AND(D75="0",E75="0"),"SI",IF(COUNTIF(Ajustes!$A$3:$A$150,B75),"SI",IF(AND(D75=0,E75=0,NOT(ISBLANK(D75)),NOT(ISBLANK(E75))),"SI","")))</f>
        <v>SI</v>
      </c>
    </row>
    <row r="76" spans="1:9" x14ac:dyDescent="0.3">
      <c r="A76" s="43" t="s">
        <v>65</v>
      </c>
      <c r="B76" s="43" t="s">
        <v>103</v>
      </c>
      <c r="C76" s="9">
        <v>45924</v>
      </c>
      <c r="D76" s="6">
        <v>32</v>
      </c>
      <c r="E76" s="6">
        <v>31</v>
      </c>
      <c r="F76" s="21">
        <f>SUMIF(Ajustes!$A$3:$A$150,Medicamentos!B76,Ajustes!$C$3:$C$150)+SUMIF(Ajustes!$A$3:$A$150,Medicamentos!B76,Ajustes!$E$3:$E$150)</f>
        <v>-15285.62</v>
      </c>
      <c r="G76" s="44">
        <f t="shared" si="2"/>
        <v>-1</v>
      </c>
      <c r="H76" s="45">
        <f t="shared" si="3"/>
        <v>0</v>
      </c>
      <c r="I76" s="22" t="str">
        <f>IF(AND(D76="0",E76="0"),"SI",IF(COUNTIF(Ajustes!$A$3:$A$150,B76),"SI",IF(AND(D76=0,E76=0,NOT(ISBLANK(D76)),NOT(ISBLANK(E76))),"SI","")))</f>
        <v>SI</v>
      </c>
    </row>
    <row r="77" spans="1:9" x14ac:dyDescent="0.3">
      <c r="A77" s="43" t="s">
        <v>65</v>
      </c>
      <c r="B77" s="43" t="s">
        <v>104</v>
      </c>
      <c r="C77" s="9">
        <v>45932</v>
      </c>
      <c r="D77" s="6">
        <v>45</v>
      </c>
      <c r="E77" s="6">
        <v>45</v>
      </c>
      <c r="F77" s="21">
        <f>SUMIF(Ajustes!$A$3:$A$150,Medicamentos!B77,Ajustes!$C$3:$C$150)+SUMIF(Ajustes!$A$3:$A$150,Medicamentos!B77,Ajustes!$E$3:$E$150)</f>
        <v>15482.779999999999</v>
      </c>
      <c r="G77" s="44">
        <f t="shared" si="2"/>
        <v>0</v>
      </c>
      <c r="H77" s="45">
        <f t="shared" si="3"/>
        <v>0</v>
      </c>
      <c r="I77" s="22" t="str">
        <f>IF(AND(D77="0",E77="0"),"SI",IF(COUNTIF(Ajustes!$A$3:$A$150,B77),"SI",IF(AND(D77=0,E77=0,NOT(ISBLANK(D77)),NOT(ISBLANK(E77))),"SI","")))</f>
        <v>SI</v>
      </c>
    </row>
    <row r="78" spans="1:9" x14ac:dyDescent="0.3">
      <c r="A78" s="43" t="s">
        <v>65</v>
      </c>
      <c r="B78" s="43" t="s">
        <v>105</v>
      </c>
      <c r="C78" s="9">
        <v>45950</v>
      </c>
      <c r="D78" s="6">
        <v>45</v>
      </c>
      <c r="E78" s="6">
        <v>45</v>
      </c>
      <c r="F78" s="21">
        <f>SUMIF(Ajustes!$A$3:$A$150,Medicamentos!B78,Ajustes!$C$3:$C$150)+SUMIF(Ajustes!$A$3:$A$150,Medicamentos!B78,Ajustes!$E$3:$E$150)</f>
        <v>23576.53</v>
      </c>
      <c r="G78" s="44">
        <f t="shared" si="2"/>
        <v>0</v>
      </c>
      <c r="H78" s="45">
        <f t="shared" si="3"/>
        <v>0</v>
      </c>
      <c r="I78" s="22" t="str">
        <f>IF(AND(D78="0",E78="0"),"SI",IF(COUNTIF(Ajustes!$A$3:$A$150,B78),"SI",IF(AND(D78=0,E78=0,NOT(ISBLANK(D78)),NOT(ISBLANK(E78))),"SI","")))</f>
        <v>SI</v>
      </c>
    </row>
    <row r="79" spans="1:9" x14ac:dyDescent="0.3">
      <c r="A79" s="43" t="s">
        <v>65</v>
      </c>
      <c r="B79" s="43" t="s">
        <v>106</v>
      </c>
      <c r="C79" s="9">
        <v>45950</v>
      </c>
      <c r="D79" s="6">
        <v>80</v>
      </c>
      <c r="E79" s="6">
        <v>84</v>
      </c>
      <c r="F79" s="21">
        <f>SUMIF(Ajustes!$A$3:$A$150,Medicamentos!B79,Ajustes!$C$3:$C$150)+SUMIF(Ajustes!$A$3:$A$150,Medicamentos!B79,Ajustes!$E$3:$E$150)</f>
        <v>58325.37</v>
      </c>
      <c r="G79" s="44">
        <f t="shared" si="2"/>
        <v>4</v>
      </c>
      <c r="H79" s="45">
        <f t="shared" si="3"/>
        <v>0</v>
      </c>
      <c r="I79" s="22" t="str">
        <f>IF(AND(D79="0",E79="0"),"SI",IF(COUNTIF(Ajustes!$A$3:$A$150,B79),"SI",IF(AND(D79=0,E79=0,NOT(ISBLANK(D79)),NOT(ISBLANK(E79))),"SI","")))</f>
        <v>SI</v>
      </c>
    </row>
    <row r="80" spans="1:9" x14ac:dyDescent="0.3">
      <c r="A80" s="43" t="s">
        <v>65</v>
      </c>
      <c r="B80" s="43" t="s">
        <v>107</v>
      </c>
      <c r="C80" s="9">
        <v>45924</v>
      </c>
      <c r="D80" s="6">
        <v>19</v>
      </c>
      <c r="E80" s="6">
        <v>18</v>
      </c>
      <c r="F80" s="21">
        <f>SUMIF(Ajustes!$A$3:$A$150,Medicamentos!B80,Ajustes!$C$3:$C$150)+SUMIF(Ajustes!$A$3:$A$150,Medicamentos!B80,Ajustes!$E$3:$E$150)</f>
        <v>-26727.66</v>
      </c>
      <c r="G80" s="44">
        <f t="shared" si="2"/>
        <v>-1</v>
      </c>
      <c r="H80" s="45">
        <f t="shared" si="3"/>
        <v>0</v>
      </c>
      <c r="I80" s="22" t="str">
        <f>IF(AND(D80="0",E80="0"),"SI",IF(COUNTIF(Ajustes!$A$3:$A$150,B80),"SI",IF(AND(D80=0,E80=0,NOT(ISBLANK(D80)),NOT(ISBLANK(E80))),"SI","")))</f>
        <v>SI</v>
      </c>
    </row>
    <row r="81" spans="1:9" x14ac:dyDescent="0.3">
      <c r="A81" s="43" t="s">
        <v>65</v>
      </c>
      <c r="B81" s="43" t="s">
        <v>108</v>
      </c>
      <c r="C81" s="9">
        <v>45947</v>
      </c>
      <c r="D81" s="6">
        <v>104</v>
      </c>
      <c r="E81" s="6">
        <v>102</v>
      </c>
      <c r="F81" s="21">
        <f>SUMIF(Ajustes!$A$3:$A$150,Medicamentos!B81,Ajustes!$C$3:$C$150)+SUMIF(Ajustes!$A$3:$A$150,Medicamentos!B81,Ajustes!$E$3:$E$150)</f>
        <v>-46380.03</v>
      </c>
      <c r="G81" s="44">
        <f t="shared" si="2"/>
        <v>-2</v>
      </c>
      <c r="H81" s="45">
        <f t="shared" si="3"/>
        <v>0</v>
      </c>
      <c r="I81" s="22" t="str">
        <f>IF(AND(D81="0",E81="0"),"SI",IF(COUNTIF(Ajustes!$A$3:$A$150,B81),"SI",IF(AND(D81=0,E81=0,NOT(ISBLANK(D81)),NOT(ISBLANK(E81))),"SI","")))</f>
        <v>SI</v>
      </c>
    </row>
    <row r="82" spans="1:9" x14ac:dyDescent="0.3">
      <c r="A82" s="43" t="s">
        <v>65</v>
      </c>
      <c r="B82" s="43" t="s">
        <v>109</v>
      </c>
      <c r="C82" s="9">
        <v>45947</v>
      </c>
      <c r="D82" s="6">
        <v>5</v>
      </c>
      <c r="E82" s="6">
        <v>4</v>
      </c>
      <c r="F82" s="21">
        <f>SUMIF(Ajustes!$A$3:$A$150,Medicamentos!B82,Ajustes!$C$3:$C$150)+SUMIF(Ajustes!$A$3:$A$150,Medicamentos!B82,Ajustes!$E$3:$E$150)</f>
        <v>-9827.01</v>
      </c>
      <c r="G82" s="44">
        <f t="shared" si="2"/>
        <v>-1</v>
      </c>
      <c r="H82" s="45">
        <f t="shared" si="3"/>
        <v>0</v>
      </c>
      <c r="I82" s="22" t="str">
        <f>IF(AND(D82="0",E82="0"),"SI",IF(COUNTIF(Ajustes!$A$3:$A$150,B82),"SI",IF(AND(D82=0,E82=0,NOT(ISBLANK(D82)),NOT(ISBLANK(E82))),"SI","")))</f>
        <v>SI</v>
      </c>
    </row>
    <row r="83" spans="1:9" x14ac:dyDescent="0.3">
      <c r="A83" s="43" t="s">
        <v>65</v>
      </c>
      <c r="B83" s="43" t="s">
        <v>110</v>
      </c>
      <c r="C83" s="9">
        <v>45947</v>
      </c>
      <c r="D83" s="6">
        <v>25</v>
      </c>
      <c r="E83" s="6">
        <v>25</v>
      </c>
      <c r="F83" s="21">
        <f>SUMIF(Ajustes!$A$3:$A$150,Medicamentos!B83,Ajustes!$C$3:$C$150)+SUMIF(Ajustes!$A$3:$A$150,Medicamentos!B83,Ajustes!$E$3:$E$150)</f>
        <v>0</v>
      </c>
      <c r="G83" s="44">
        <f t="shared" si="2"/>
        <v>0</v>
      </c>
      <c r="H83" s="45">
        <f t="shared" si="3"/>
        <v>0</v>
      </c>
      <c r="I83" s="22" t="str">
        <f>IF(AND(D83="0",E83="0"),"SI",IF(COUNTIF(Ajustes!$A$3:$A$150,B83),"SI",IF(AND(D83=0,E83=0,NOT(ISBLANK(D83)),NOT(ISBLANK(E83))),"SI","")))</f>
        <v/>
      </c>
    </row>
    <row r="84" spans="1:9" x14ac:dyDescent="0.3">
      <c r="A84" s="43" t="s">
        <v>65</v>
      </c>
      <c r="B84" s="43" t="s">
        <v>111</v>
      </c>
      <c r="C84" s="9">
        <v>45924</v>
      </c>
      <c r="D84" s="6">
        <v>33</v>
      </c>
      <c r="E84" s="6">
        <v>35</v>
      </c>
      <c r="F84" s="21">
        <f>SUMIF(Ajustes!$A$3:$A$150,Medicamentos!B84,Ajustes!$C$3:$C$150)+SUMIF(Ajustes!$A$3:$A$150,Medicamentos!B84,Ajustes!$E$3:$E$150)</f>
        <v>21206</v>
      </c>
      <c r="G84" s="44">
        <f t="shared" si="2"/>
        <v>2</v>
      </c>
      <c r="H84" s="45">
        <f t="shared" si="3"/>
        <v>0</v>
      </c>
      <c r="I84" s="22" t="str">
        <f>IF(AND(D84="0",E84="0"),"SI",IF(COUNTIF(Ajustes!$A$3:$A$150,B84),"SI",IF(AND(D84=0,E84=0,NOT(ISBLANK(D84)),NOT(ISBLANK(E84))),"SI","")))</f>
        <v>SI</v>
      </c>
    </row>
    <row r="85" spans="1:9" x14ac:dyDescent="0.3">
      <c r="A85" s="43" t="s">
        <v>65</v>
      </c>
      <c r="B85" s="43" t="s">
        <v>112</v>
      </c>
      <c r="C85" s="9">
        <v>45947</v>
      </c>
      <c r="D85" s="6">
        <v>17</v>
      </c>
      <c r="E85" s="6">
        <v>16</v>
      </c>
      <c r="F85" s="21">
        <f>SUMIF(Ajustes!$A$3:$A$150,Medicamentos!B85,Ajustes!$C$3:$C$150)+SUMIF(Ajustes!$A$3:$A$150,Medicamentos!B85,Ajustes!$E$3:$E$150)</f>
        <v>-58110.27</v>
      </c>
      <c r="G85" s="44">
        <f t="shared" si="2"/>
        <v>-1</v>
      </c>
      <c r="H85" s="45">
        <f t="shared" si="3"/>
        <v>0</v>
      </c>
      <c r="I85" s="22" t="str">
        <f>IF(AND(D85="0",E85="0"),"SI",IF(COUNTIF(Ajustes!$A$3:$A$150,B85),"SI",IF(AND(D85=0,E85=0,NOT(ISBLANK(D85)),NOT(ISBLANK(E85))),"SI","")))</f>
        <v>SI</v>
      </c>
    </row>
    <row r="86" spans="1:9" x14ac:dyDescent="0.3">
      <c r="A86" s="43" t="s">
        <v>65</v>
      </c>
      <c r="B86" s="43" t="s">
        <v>113</v>
      </c>
      <c r="C86" s="9">
        <v>45947</v>
      </c>
      <c r="D86" s="6">
        <v>9</v>
      </c>
      <c r="E86" s="6">
        <v>9</v>
      </c>
      <c r="F86" s="21">
        <f>SUMIF(Ajustes!$A$3:$A$150,Medicamentos!B86,Ajustes!$C$3:$C$150)+SUMIF(Ajustes!$A$3:$A$150,Medicamentos!B86,Ajustes!$E$3:$E$150)</f>
        <v>0</v>
      </c>
      <c r="G86" s="44">
        <f t="shared" si="2"/>
        <v>0</v>
      </c>
      <c r="H86" s="45">
        <f t="shared" si="3"/>
        <v>0</v>
      </c>
      <c r="I86" s="22" t="str">
        <f>IF(AND(D86="0",E86="0"),"SI",IF(COUNTIF(Ajustes!$A$3:$A$150,B86),"SI",IF(AND(D86=0,E86=0,NOT(ISBLANK(D86)),NOT(ISBLANK(E86))),"SI","")))</f>
        <v/>
      </c>
    </row>
    <row r="87" spans="1:9" x14ac:dyDescent="0.3">
      <c r="A87" s="43" t="s">
        <v>65</v>
      </c>
      <c r="B87" s="43" t="s">
        <v>114</v>
      </c>
      <c r="C87" s="9">
        <v>45924</v>
      </c>
      <c r="D87" s="6">
        <v>0</v>
      </c>
      <c r="E87" s="6">
        <v>0</v>
      </c>
      <c r="F87" s="21">
        <f>SUMIF(Ajustes!$A$3:$A$150,Medicamentos!B87,Ajustes!$C$3:$C$150)+SUMIF(Ajustes!$A$3:$A$150,Medicamentos!B87,Ajustes!$E$3:$E$150)</f>
        <v>0</v>
      </c>
      <c r="G87" s="44">
        <f t="shared" si="2"/>
        <v>0</v>
      </c>
      <c r="H87" s="45">
        <f t="shared" si="3"/>
        <v>0</v>
      </c>
      <c r="I87" s="22" t="str">
        <f>IF(AND(D87="0",E87="0"),"SI",IF(COUNTIF(Ajustes!$A$3:$A$150,B87),"SI",IF(AND(D87=0,E87=0,NOT(ISBLANK(D87)),NOT(ISBLANK(E87))),"SI","")))</f>
        <v>SI</v>
      </c>
    </row>
    <row r="88" spans="1:9" x14ac:dyDescent="0.3">
      <c r="A88" s="43" t="s">
        <v>65</v>
      </c>
      <c r="B88" s="43" t="s">
        <v>115</v>
      </c>
      <c r="C88" s="9">
        <v>45913</v>
      </c>
      <c r="D88" s="6">
        <v>49</v>
      </c>
      <c r="E88" s="6">
        <v>49</v>
      </c>
      <c r="F88" s="21">
        <f>SUMIF(Ajustes!$A$3:$A$150,Medicamentos!B88,Ajustes!$C$3:$C$150)+SUMIF(Ajustes!$A$3:$A$150,Medicamentos!B88,Ajustes!$E$3:$E$150)</f>
        <v>0</v>
      </c>
      <c r="G88" s="44">
        <f t="shared" si="2"/>
        <v>0</v>
      </c>
      <c r="H88" s="45">
        <f t="shared" si="3"/>
        <v>0</v>
      </c>
      <c r="I88" s="22" t="str">
        <f>IF(AND(D88="0",E88="0"),"SI",IF(COUNTIF(Ajustes!$A$3:$A$150,B88),"SI",IF(AND(D88=0,E88=0,NOT(ISBLANK(D88)),NOT(ISBLANK(E88))),"SI","")))</f>
        <v>SI</v>
      </c>
    </row>
    <row r="89" spans="1:9" x14ac:dyDescent="0.3">
      <c r="A89" s="43" t="s">
        <v>65</v>
      </c>
      <c r="B89" s="43" t="s">
        <v>116</v>
      </c>
      <c r="C89" s="9">
        <v>45923</v>
      </c>
      <c r="D89" s="6">
        <v>128</v>
      </c>
      <c r="E89" s="6">
        <v>126</v>
      </c>
      <c r="F89" s="21">
        <f>SUMIF(Ajustes!$A$3:$A$150,Medicamentos!B89,Ajustes!$C$3:$C$150)+SUMIF(Ajustes!$A$3:$A$150,Medicamentos!B89,Ajustes!$E$3:$E$150)</f>
        <v>-12429.64</v>
      </c>
      <c r="G89" s="44">
        <f t="shared" si="2"/>
        <v>-2</v>
      </c>
      <c r="H89" s="45">
        <f t="shared" si="3"/>
        <v>0</v>
      </c>
      <c r="I89" s="22" t="str">
        <f>IF(AND(D89="0",E89="0"),"SI",IF(COUNTIF(Ajustes!$A$3:$A$150,B89),"SI",IF(AND(D89=0,E89=0,NOT(ISBLANK(D89)),NOT(ISBLANK(E89))),"SI","")))</f>
        <v>SI</v>
      </c>
    </row>
    <row r="90" spans="1:9" x14ac:dyDescent="0.3">
      <c r="A90" s="43" t="s">
        <v>65</v>
      </c>
      <c r="B90" s="43" t="s">
        <v>117</v>
      </c>
      <c r="C90" s="9">
        <v>45924</v>
      </c>
      <c r="D90" s="6">
        <v>0</v>
      </c>
      <c r="E90" s="6">
        <v>0</v>
      </c>
      <c r="F90" s="21">
        <f>SUMIF(Ajustes!$A$3:$A$150,Medicamentos!B90,Ajustes!$C$3:$C$150)+SUMIF(Ajustes!$A$3:$A$150,Medicamentos!B90,Ajustes!$E$3:$E$150)</f>
        <v>0</v>
      </c>
      <c r="G90" s="44">
        <f t="shared" si="2"/>
        <v>0</v>
      </c>
      <c r="H90" s="45">
        <f t="shared" si="3"/>
        <v>0</v>
      </c>
      <c r="I90" s="22" t="str">
        <f>IF(AND(D90="0",E90="0"),"SI",IF(COUNTIF(Ajustes!$A$3:$A$150,B90),"SI",IF(AND(D90=0,E90=0,NOT(ISBLANK(D90)),NOT(ISBLANK(E90))),"SI","")))</f>
        <v>SI</v>
      </c>
    </row>
    <row r="91" spans="1:9" x14ac:dyDescent="0.3">
      <c r="A91" s="43" t="s">
        <v>65</v>
      </c>
      <c r="B91" s="43" t="s">
        <v>118</v>
      </c>
      <c r="C91" s="9">
        <v>45913</v>
      </c>
      <c r="D91" s="6">
        <v>102</v>
      </c>
      <c r="E91" s="6">
        <v>102</v>
      </c>
      <c r="F91" s="21">
        <f>SUMIF(Ajustes!$A$3:$A$150,Medicamentos!B91,Ajustes!$C$3:$C$150)+SUMIF(Ajustes!$A$3:$A$150,Medicamentos!B91,Ajustes!$E$3:$E$150)</f>
        <v>0</v>
      </c>
      <c r="G91" s="44">
        <f t="shared" si="2"/>
        <v>0</v>
      </c>
      <c r="H91" s="45">
        <f t="shared" si="3"/>
        <v>0</v>
      </c>
      <c r="I91" s="22" t="str">
        <f>IF(AND(D91="0",E91="0"),"SI",IF(COUNTIF(Ajustes!$A$3:$A$150,B91),"SI",IF(AND(D91=0,E91=0,NOT(ISBLANK(D91)),NOT(ISBLANK(E91))),"SI","")))</f>
        <v>SI</v>
      </c>
    </row>
    <row r="92" spans="1:9" x14ac:dyDescent="0.3">
      <c r="A92" s="43" t="s">
        <v>65</v>
      </c>
      <c r="B92" s="43" t="s">
        <v>119</v>
      </c>
      <c r="C92" s="9">
        <v>45920</v>
      </c>
      <c r="D92" s="6">
        <v>107</v>
      </c>
      <c r="E92" s="6">
        <v>108</v>
      </c>
      <c r="F92" s="21">
        <f>SUMIF(Ajustes!$A$3:$A$150,Medicamentos!B92,Ajustes!$C$3:$C$150)+SUMIF(Ajustes!$A$3:$A$150,Medicamentos!B92,Ajustes!$E$3:$E$150)</f>
        <v>-39203.839999999997</v>
      </c>
      <c r="G92" s="44">
        <f t="shared" si="2"/>
        <v>1</v>
      </c>
      <c r="H92" s="45">
        <f t="shared" si="3"/>
        <v>0</v>
      </c>
      <c r="I92" s="22" t="str">
        <f>IF(AND(D92="0",E92="0"),"SI",IF(COUNTIF(Ajustes!$A$3:$A$150,B92),"SI",IF(AND(D92=0,E92=0,NOT(ISBLANK(D92)),NOT(ISBLANK(E92))),"SI","")))</f>
        <v>SI</v>
      </c>
    </row>
    <row r="93" spans="1:9" x14ac:dyDescent="0.3">
      <c r="A93" s="43" t="s">
        <v>120</v>
      </c>
      <c r="B93" s="43" t="s">
        <v>121</v>
      </c>
      <c r="C93" s="9">
        <v>45913</v>
      </c>
      <c r="D93" s="6">
        <v>36</v>
      </c>
      <c r="E93" s="6">
        <v>34</v>
      </c>
      <c r="F93" s="21">
        <f>SUMIF(Ajustes!$A$3:$A$150,Medicamentos!B93,Ajustes!$C$3:$C$150)+SUMIF(Ajustes!$A$3:$A$150,Medicamentos!B93,Ajustes!$E$3:$E$150)</f>
        <v>-95937.43</v>
      </c>
      <c r="G93" s="44">
        <f>E93-D93</f>
        <v>-2</v>
      </c>
      <c r="H93" s="45">
        <f>IF(C93&lt;&gt;"",0,"")</f>
        <v>0</v>
      </c>
      <c r="I93" s="22" t="str">
        <f>IF(AND(D93="0",E93="0"),"SI",IF(COUNTIF(Ajustes!$A$3:$A$150,B93),"SI",IF(AND(D93=0,E93=0,NOT(ISBLANK(D93)),NOT(ISBLANK(E93))),"SI","")))</f>
        <v>SI</v>
      </c>
    </row>
    <row r="94" spans="1:9" x14ac:dyDescent="0.3">
      <c r="A94" s="43" t="s">
        <v>120</v>
      </c>
      <c r="B94" s="43" t="s">
        <v>122</v>
      </c>
      <c r="C94" s="9">
        <v>45913</v>
      </c>
      <c r="D94" s="6">
        <v>2</v>
      </c>
      <c r="E94" s="6">
        <v>4</v>
      </c>
      <c r="F94" s="21">
        <f>SUMIF(Ajustes!$A$3:$A$150,Medicamentos!B94,Ajustes!$C$3:$C$150)+SUMIF(Ajustes!$A$3:$A$150,Medicamentos!B94,Ajustes!$E$3:$E$150)</f>
        <v>24500</v>
      </c>
      <c r="G94" s="44">
        <f t="shared" ref="G94:G127" si="4">E94-D94</f>
        <v>2</v>
      </c>
      <c r="H94" s="45">
        <f t="shared" ref="H94:H127" si="5">IF(C94&lt;&gt;"",0,"")</f>
        <v>0</v>
      </c>
      <c r="I94" s="22" t="str">
        <f>IF(AND(D94="0",E94="0"),"SI",IF(COUNTIF(Ajustes!$A$3:$A$150,B94),"SI",IF(AND(D94=0,E94=0,NOT(ISBLANK(D94)),NOT(ISBLANK(E94))),"SI","")))</f>
        <v>SI</v>
      </c>
    </row>
    <row r="95" spans="1:9" x14ac:dyDescent="0.3">
      <c r="A95" s="43" t="s">
        <v>120</v>
      </c>
      <c r="B95" s="43" t="s">
        <v>123</v>
      </c>
      <c r="C95" s="9">
        <v>45880</v>
      </c>
      <c r="D95" s="6">
        <v>0</v>
      </c>
      <c r="E95" s="6">
        <v>0</v>
      </c>
      <c r="F95" s="21">
        <f>SUMIF(Ajustes!$A$3:$A$150,Medicamentos!B95,Ajustes!$C$3:$C$150)+SUMIF(Ajustes!$A$3:$A$150,Medicamentos!B95,Ajustes!$E$3:$E$150)</f>
        <v>0</v>
      </c>
      <c r="G95" s="44">
        <f t="shared" si="4"/>
        <v>0</v>
      </c>
      <c r="H95" s="45">
        <f t="shared" si="5"/>
        <v>0</v>
      </c>
      <c r="I95" s="22" t="str">
        <f>IF(AND(D95="0",E95="0"),"SI",IF(COUNTIF(Ajustes!$A$3:$A$150,B95),"SI",IF(AND(D95=0,E95=0,NOT(ISBLANK(D95)),NOT(ISBLANK(E95))),"SI","")))</f>
        <v>SI</v>
      </c>
    </row>
    <row r="96" spans="1:9" x14ac:dyDescent="0.3">
      <c r="A96" s="43" t="s">
        <v>120</v>
      </c>
      <c r="B96" s="43" t="s">
        <v>124</v>
      </c>
      <c r="C96" s="9"/>
      <c r="D96" s="6"/>
      <c r="E96" s="6"/>
      <c r="F96" s="21">
        <f>SUMIF(Ajustes!$A$3:$A$150,Medicamentos!B96,Ajustes!$C$3:$C$150)+SUMIF(Ajustes!$A$3:$A$150,Medicamentos!B96,Ajustes!$E$3:$E$150)</f>
        <v>0</v>
      </c>
      <c r="G96" s="44">
        <f t="shared" si="4"/>
        <v>0</v>
      </c>
      <c r="H96" s="45" t="str">
        <f t="shared" si="5"/>
        <v/>
      </c>
      <c r="I96" s="22" t="str">
        <f>IF(AND(D96="0",E96="0"),"SI",IF(COUNTIF(Ajustes!$A$3:$A$150,B96),"SI",IF(AND(D96=0,E96=0,NOT(ISBLANK(D96)),NOT(ISBLANK(E96))),"SI","")))</f>
        <v/>
      </c>
    </row>
    <row r="97" spans="1:9" x14ac:dyDescent="0.3">
      <c r="A97" s="43" t="s">
        <v>120</v>
      </c>
      <c r="B97" s="43" t="s">
        <v>125</v>
      </c>
      <c r="C97" s="9">
        <v>45880</v>
      </c>
      <c r="D97" s="6">
        <v>0</v>
      </c>
      <c r="E97" s="6">
        <v>0</v>
      </c>
      <c r="F97" s="21">
        <f>SUMIF(Ajustes!$A$3:$A$150,Medicamentos!B97,Ajustes!$C$3:$C$150)+SUMIF(Ajustes!$A$3:$A$150,Medicamentos!B97,Ajustes!$E$3:$E$150)</f>
        <v>0</v>
      </c>
      <c r="G97" s="44">
        <f t="shared" si="4"/>
        <v>0</v>
      </c>
      <c r="H97" s="45">
        <f t="shared" si="5"/>
        <v>0</v>
      </c>
      <c r="I97" s="22" t="str">
        <f>IF(AND(D97="0",E97="0"),"SI",IF(COUNTIF(Ajustes!$A$3:$A$150,B97),"SI",IF(AND(D97=0,E97=0,NOT(ISBLANK(D97)),NOT(ISBLANK(E97))),"SI","")))</f>
        <v>SI</v>
      </c>
    </row>
    <row r="98" spans="1:9" x14ac:dyDescent="0.3">
      <c r="A98" s="43" t="s">
        <v>120</v>
      </c>
      <c r="B98" s="43" t="s">
        <v>126</v>
      </c>
      <c r="C98" s="9">
        <v>45913</v>
      </c>
      <c r="D98" s="6">
        <v>31</v>
      </c>
      <c r="E98" s="6">
        <v>31</v>
      </c>
      <c r="F98" s="21">
        <f>SUMIF(Ajustes!$A$3:$A$150,Medicamentos!B98,Ajustes!$C$3:$C$150)+SUMIF(Ajustes!$A$3:$A$150,Medicamentos!B98,Ajustes!$E$3:$E$150)</f>
        <v>0</v>
      </c>
      <c r="G98" s="44">
        <f t="shared" si="4"/>
        <v>0</v>
      </c>
      <c r="H98" s="45">
        <f t="shared" si="5"/>
        <v>0</v>
      </c>
      <c r="I98" s="22" t="str">
        <f>IF(AND(D98="0",E98="0"),"SI",IF(COUNTIF(Ajustes!$A$3:$A$150,B98),"SI",IF(AND(D98=0,E98=0,NOT(ISBLANK(D98)),NOT(ISBLANK(E98))),"SI","")))</f>
        <v>SI</v>
      </c>
    </row>
    <row r="99" spans="1:9" x14ac:dyDescent="0.3">
      <c r="A99" s="43" t="s">
        <v>120</v>
      </c>
      <c r="B99" s="43" t="s">
        <v>127</v>
      </c>
      <c r="C99" s="9">
        <v>45880</v>
      </c>
      <c r="D99" s="6">
        <v>0</v>
      </c>
      <c r="E99" s="6">
        <v>0</v>
      </c>
      <c r="F99" s="21">
        <f>SUMIF(Ajustes!$A$3:$A$150,Medicamentos!B99,Ajustes!$C$3:$C$150)+SUMIF(Ajustes!$A$3:$A$150,Medicamentos!B99,Ajustes!$E$3:$E$150)</f>
        <v>0</v>
      </c>
      <c r="G99" s="44">
        <f t="shared" si="4"/>
        <v>0</v>
      </c>
      <c r="H99" s="45">
        <f t="shared" si="5"/>
        <v>0</v>
      </c>
      <c r="I99" s="22" t="str">
        <f>IF(AND(D99="0",E99="0"),"SI",IF(COUNTIF(Ajustes!$A$3:$A$150,B99),"SI",IF(AND(D99=0,E99=0,NOT(ISBLANK(D99)),NOT(ISBLANK(E99))),"SI","")))</f>
        <v>SI</v>
      </c>
    </row>
    <row r="100" spans="1:9" x14ac:dyDescent="0.3">
      <c r="A100" s="43" t="s">
        <v>120</v>
      </c>
      <c r="B100" s="43" t="s">
        <v>128</v>
      </c>
      <c r="C100" s="9">
        <v>45880</v>
      </c>
      <c r="D100" s="6">
        <v>0</v>
      </c>
      <c r="E100" s="6">
        <v>0</v>
      </c>
      <c r="F100" s="21">
        <f>SUMIF(Ajustes!$A$3:$A$150,Medicamentos!B100,Ajustes!$C$3:$C$150)+SUMIF(Ajustes!$A$3:$A$150,Medicamentos!B100,Ajustes!$E$3:$E$150)</f>
        <v>0</v>
      </c>
      <c r="G100" s="44">
        <f t="shared" si="4"/>
        <v>0</v>
      </c>
      <c r="H100" s="45">
        <f t="shared" si="5"/>
        <v>0</v>
      </c>
      <c r="I100" s="22" t="str">
        <f>IF(AND(D100="0",E100="0"),"SI",IF(COUNTIF(Ajustes!$A$3:$A$150,B100),"SI",IF(AND(D100=0,E100=0,NOT(ISBLANK(D100)),NOT(ISBLANK(E100))),"SI","")))</f>
        <v>SI</v>
      </c>
    </row>
    <row r="101" spans="1:9" x14ac:dyDescent="0.3">
      <c r="A101" s="43" t="s">
        <v>120</v>
      </c>
      <c r="B101" s="43" t="s">
        <v>129</v>
      </c>
      <c r="C101" s="9">
        <v>45880</v>
      </c>
      <c r="D101" s="6">
        <v>0</v>
      </c>
      <c r="E101" s="6">
        <v>0</v>
      </c>
      <c r="F101" s="21">
        <f>SUMIF(Ajustes!$A$3:$A$150,Medicamentos!B101,Ajustes!$C$3:$C$150)+SUMIF(Ajustes!$A$3:$A$150,Medicamentos!B101,Ajustes!$E$3:$E$150)</f>
        <v>0</v>
      </c>
      <c r="G101" s="44">
        <f t="shared" si="4"/>
        <v>0</v>
      </c>
      <c r="H101" s="45">
        <f t="shared" si="5"/>
        <v>0</v>
      </c>
      <c r="I101" s="22" t="str">
        <f>IF(AND(D101="0",E101="0"),"SI",IF(COUNTIF(Ajustes!$A$3:$A$150,B101),"SI",IF(AND(D101=0,E101=0,NOT(ISBLANK(D101)),NOT(ISBLANK(E101))),"SI","")))</f>
        <v>SI</v>
      </c>
    </row>
    <row r="102" spans="1:9" x14ac:dyDescent="0.3">
      <c r="A102" s="43" t="s">
        <v>120</v>
      </c>
      <c r="B102" s="43" t="s">
        <v>130</v>
      </c>
      <c r="C102" s="9">
        <v>45913</v>
      </c>
      <c r="D102" s="6">
        <v>3</v>
      </c>
      <c r="E102" s="6">
        <v>3</v>
      </c>
      <c r="F102" s="21">
        <f>SUMIF(Ajustes!$A$3:$A$150,Medicamentos!B102,Ajustes!$C$3:$C$150)+SUMIF(Ajustes!$A$3:$A$150,Medicamentos!B102,Ajustes!$E$3:$E$150)</f>
        <v>0</v>
      </c>
      <c r="G102" s="44">
        <f t="shared" si="4"/>
        <v>0</v>
      </c>
      <c r="H102" s="45">
        <f t="shared" si="5"/>
        <v>0</v>
      </c>
      <c r="I102" s="22" t="str">
        <f>IF(AND(D102="0",E102="0"),"SI",IF(COUNTIF(Ajustes!$A$3:$A$150,B102),"SI",IF(AND(D102=0,E102=0,NOT(ISBLANK(D102)),NOT(ISBLANK(E102))),"SI","")))</f>
        <v>SI</v>
      </c>
    </row>
    <row r="103" spans="1:9" x14ac:dyDescent="0.3">
      <c r="A103" s="43" t="s">
        <v>120</v>
      </c>
      <c r="B103" s="43" t="s">
        <v>131</v>
      </c>
      <c r="C103" s="9">
        <v>45913</v>
      </c>
      <c r="D103" s="6">
        <v>10</v>
      </c>
      <c r="E103" s="6">
        <v>10</v>
      </c>
      <c r="F103" s="21">
        <f>SUMIF(Ajustes!$A$3:$A$150,Medicamentos!B103,Ajustes!$C$3:$C$150)+SUMIF(Ajustes!$A$3:$A$150,Medicamentos!B103,Ajustes!$E$3:$E$150)</f>
        <v>0</v>
      </c>
      <c r="G103" s="44">
        <f t="shared" si="4"/>
        <v>0</v>
      </c>
      <c r="H103" s="45">
        <f t="shared" si="5"/>
        <v>0</v>
      </c>
      <c r="I103" s="22" t="str">
        <f>IF(AND(D103="0",E103="0"),"SI",IF(COUNTIF(Ajustes!$A$3:$A$150,B103),"SI",IF(AND(D103=0,E103=0,NOT(ISBLANK(D103)),NOT(ISBLANK(E103))),"SI","")))</f>
        <v>SI</v>
      </c>
    </row>
    <row r="104" spans="1:9" x14ac:dyDescent="0.3">
      <c r="A104" s="43" t="s">
        <v>120</v>
      </c>
      <c r="B104" s="43" t="s">
        <v>132</v>
      </c>
      <c r="C104" s="9">
        <v>45913</v>
      </c>
      <c r="D104" s="6">
        <v>2</v>
      </c>
      <c r="E104" s="6">
        <v>2</v>
      </c>
      <c r="F104" s="21">
        <f>SUMIF(Ajustes!$A$3:$A$150,Medicamentos!B104,Ajustes!$C$3:$C$150)+SUMIF(Ajustes!$A$3:$A$150,Medicamentos!B104,Ajustes!$E$3:$E$150)</f>
        <v>0</v>
      </c>
      <c r="G104" s="44">
        <f t="shared" si="4"/>
        <v>0</v>
      </c>
      <c r="H104" s="45">
        <f t="shared" si="5"/>
        <v>0</v>
      </c>
      <c r="I104" s="22" t="str">
        <f>IF(AND(D104="0",E104="0"),"SI",IF(COUNTIF(Ajustes!$A$3:$A$150,B104),"SI",IF(AND(D104=0,E104=0,NOT(ISBLANK(D104)),NOT(ISBLANK(E104))),"SI","")))</f>
        <v>SI</v>
      </c>
    </row>
    <row r="105" spans="1:9" x14ac:dyDescent="0.3">
      <c r="A105" s="43" t="s">
        <v>120</v>
      </c>
      <c r="B105" s="43" t="s">
        <v>133</v>
      </c>
      <c r="C105" s="9">
        <v>45913</v>
      </c>
      <c r="D105" s="6">
        <v>8</v>
      </c>
      <c r="E105" s="6">
        <v>7</v>
      </c>
      <c r="F105" s="21">
        <f>SUMIF(Ajustes!$A$3:$A$150,Medicamentos!B105,Ajustes!$C$3:$C$150)+SUMIF(Ajustes!$A$3:$A$150,Medicamentos!B105,Ajustes!$E$3:$E$150)</f>
        <v>-5490</v>
      </c>
      <c r="G105" s="44">
        <f t="shared" si="4"/>
        <v>-1</v>
      </c>
      <c r="H105" s="45">
        <f t="shared" si="5"/>
        <v>0</v>
      </c>
      <c r="I105" s="22" t="str">
        <f>IF(AND(D105="0",E105="0"),"SI",IF(COUNTIF(Ajustes!$A$3:$A$150,B105),"SI",IF(AND(D105=0,E105=0,NOT(ISBLANK(D105)),NOT(ISBLANK(E105))),"SI","")))</f>
        <v>SI</v>
      </c>
    </row>
    <row r="106" spans="1:9" x14ac:dyDescent="0.3">
      <c r="A106" s="43" t="s">
        <v>120</v>
      </c>
      <c r="B106" s="43" t="s">
        <v>134</v>
      </c>
      <c r="C106" s="9">
        <v>45912</v>
      </c>
      <c r="D106" s="6">
        <v>9</v>
      </c>
      <c r="E106" s="6">
        <v>9</v>
      </c>
      <c r="F106" s="21">
        <f>SUMIF(Ajustes!$A$3:$A$150,Medicamentos!B106,Ajustes!$C$3:$C$150)+SUMIF(Ajustes!$A$3:$A$150,Medicamentos!B106,Ajustes!$E$3:$E$150)</f>
        <v>12011.16</v>
      </c>
      <c r="G106" s="44">
        <f t="shared" si="4"/>
        <v>0</v>
      </c>
      <c r="H106" s="45">
        <f t="shared" si="5"/>
        <v>0</v>
      </c>
      <c r="I106" s="22" t="str">
        <f>IF(AND(D106="0",E106="0"),"SI",IF(COUNTIF(Ajustes!$A$3:$A$150,B106),"SI",IF(AND(D106=0,E106=0,NOT(ISBLANK(D106)),NOT(ISBLANK(E106))),"SI","")))</f>
        <v>SI</v>
      </c>
    </row>
    <row r="107" spans="1:9" x14ac:dyDescent="0.3">
      <c r="A107" s="43" t="s">
        <v>120</v>
      </c>
      <c r="B107" s="43" t="s">
        <v>135</v>
      </c>
      <c r="C107" s="9">
        <v>45913</v>
      </c>
      <c r="D107" s="6">
        <v>20</v>
      </c>
      <c r="E107" s="6">
        <v>21</v>
      </c>
      <c r="F107" s="21">
        <f>SUMIF(Ajustes!$A$3:$A$150,Medicamentos!B107,Ajustes!$C$3:$C$150)+SUMIF(Ajustes!$A$3:$A$150,Medicamentos!B107,Ajustes!$E$3:$E$150)</f>
        <v>12520</v>
      </c>
      <c r="G107" s="44">
        <f t="shared" si="4"/>
        <v>1</v>
      </c>
      <c r="H107" s="45">
        <f t="shared" si="5"/>
        <v>0</v>
      </c>
      <c r="I107" s="22" t="str">
        <f>IF(AND(D107="0",E107="0"),"SI",IF(COUNTIF(Ajustes!$A$3:$A$150,B107),"SI",IF(AND(D107=0,E107=0,NOT(ISBLANK(D107)),NOT(ISBLANK(E107))),"SI","")))</f>
        <v>SI</v>
      </c>
    </row>
    <row r="108" spans="1:9" x14ac:dyDescent="0.3">
      <c r="A108" s="43" t="s">
        <v>120</v>
      </c>
      <c r="B108" s="43" t="s">
        <v>136</v>
      </c>
      <c r="C108" s="9">
        <v>45912</v>
      </c>
      <c r="D108" s="6">
        <v>23</v>
      </c>
      <c r="E108" s="6">
        <v>23</v>
      </c>
      <c r="F108" s="21">
        <f>SUMIF(Ajustes!$A$3:$A$150,Medicamentos!B108,Ajustes!$C$3:$C$150)+SUMIF(Ajustes!$A$3:$A$150,Medicamentos!B108,Ajustes!$E$3:$E$150)</f>
        <v>0</v>
      </c>
      <c r="G108" s="44">
        <f t="shared" si="4"/>
        <v>0</v>
      </c>
      <c r="H108" s="45">
        <f t="shared" si="5"/>
        <v>0</v>
      </c>
      <c r="I108" s="22" t="str">
        <f>IF(AND(D108="0",E108="0"),"SI",IF(COUNTIF(Ajustes!$A$3:$A$150,B108),"SI",IF(AND(D108=0,E108=0,NOT(ISBLANK(D108)),NOT(ISBLANK(E108))),"SI","")))</f>
        <v>SI</v>
      </c>
    </row>
    <row r="109" spans="1:9" x14ac:dyDescent="0.3">
      <c r="A109" s="43" t="s">
        <v>120</v>
      </c>
      <c r="B109" s="43" t="s">
        <v>137</v>
      </c>
      <c r="C109" s="9">
        <v>45913</v>
      </c>
      <c r="D109" s="6">
        <v>60</v>
      </c>
      <c r="E109" s="6">
        <v>64</v>
      </c>
      <c r="F109" s="21">
        <f>SUMIF(Ajustes!$A$3:$A$150,Medicamentos!B109,Ajustes!$C$3:$C$150)+SUMIF(Ajustes!$A$3:$A$150,Medicamentos!B109,Ajustes!$E$3:$E$150)</f>
        <v>-35000</v>
      </c>
      <c r="G109" s="44">
        <f t="shared" si="4"/>
        <v>4</v>
      </c>
      <c r="H109" s="45">
        <f t="shared" si="5"/>
        <v>0</v>
      </c>
      <c r="I109" s="22" t="str">
        <f>IF(AND(D109="0",E109="0"),"SI",IF(COUNTIF(Ajustes!$A$3:$A$150,B109),"SI",IF(AND(D109=0,E109=0,NOT(ISBLANK(D109)),NOT(ISBLANK(E109))),"SI","")))</f>
        <v>SI</v>
      </c>
    </row>
    <row r="110" spans="1:9" x14ac:dyDescent="0.3">
      <c r="A110" s="43" t="s">
        <v>120</v>
      </c>
      <c r="B110" s="43" t="s">
        <v>138</v>
      </c>
      <c r="C110" s="9">
        <v>45912</v>
      </c>
      <c r="D110" s="6">
        <v>9</v>
      </c>
      <c r="E110" s="6">
        <v>8</v>
      </c>
      <c r="F110" s="21">
        <f>SUMIF(Ajustes!$A$3:$A$150,Medicamentos!B110,Ajustes!$C$3:$C$150)+SUMIF(Ajustes!$A$3:$A$150,Medicamentos!B110,Ajustes!$E$3:$E$150)</f>
        <v>-25496.69</v>
      </c>
      <c r="G110" s="44">
        <f t="shared" si="4"/>
        <v>-1</v>
      </c>
      <c r="H110" s="45">
        <f t="shared" si="5"/>
        <v>0</v>
      </c>
      <c r="I110" s="22" t="str">
        <f>IF(AND(D110="0",E110="0"),"SI",IF(COUNTIF(Ajustes!$A$3:$A$150,B110),"SI",IF(AND(D110=0,E110=0,NOT(ISBLANK(D110)),NOT(ISBLANK(E110))),"SI","")))</f>
        <v>SI</v>
      </c>
    </row>
    <row r="111" spans="1:9" x14ac:dyDescent="0.3">
      <c r="A111" s="43" t="s">
        <v>120</v>
      </c>
      <c r="B111" s="43" t="s">
        <v>139</v>
      </c>
      <c r="C111" s="9">
        <v>45880</v>
      </c>
      <c r="D111" s="6">
        <v>0</v>
      </c>
      <c r="E111" s="6">
        <v>0</v>
      </c>
      <c r="F111" s="21">
        <f>SUMIF(Ajustes!$A$3:$A$150,Medicamentos!B111,Ajustes!$C$3:$C$150)+SUMIF(Ajustes!$A$3:$A$150,Medicamentos!B111,Ajustes!$E$3:$E$150)</f>
        <v>0</v>
      </c>
      <c r="G111" s="44">
        <f t="shared" si="4"/>
        <v>0</v>
      </c>
      <c r="H111" s="45">
        <f t="shared" si="5"/>
        <v>0</v>
      </c>
      <c r="I111" s="22" t="str">
        <f>IF(AND(D111="0",E111="0"),"SI",IF(COUNTIF(Ajustes!$A$3:$A$150,B111),"SI",IF(AND(D111=0,E111=0,NOT(ISBLANK(D111)),NOT(ISBLANK(E111))),"SI","")))</f>
        <v>SI</v>
      </c>
    </row>
    <row r="112" spans="1:9" x14ac:dyDescent="0.3">
      <c r="A112" s="43" t="s">
        <v>120</v>
      </c>
      <c r="B112" s="43" t="s">
        <v>140</v>
      </c>
      <c r="C112" s="9">
        <v>45880</v>
      </c>
      <c r="D112" s="6">
        <v>0</v>
      </c>
      <c r="E112" s="6">
        <v>0</v>
      </c>
      <c r="F112" s="21">
        <f>SUMIF(Ajustes!$A$3:$A$150,Medicamentos!B112,Ajustes!$C$3:$C$150)+SUMIF(Ajustes!$A$3:$A$150,Medicamentos!B112,Ajustes!$E$3:$E$150)</f>
        <v>0</v>
      </c>
      <c r="G112" s="44">
        <f t="shared" si="4"/>
        <v>0</v>
      </c>
      <c r="H112" s="45">
        <f t="shared" si="5"/>
        <v>0</v>
      </c>
      <c r="I112" s="22" t="str">
        <f>IF(AND(D112="0",E112="0"),"SI",IF(COUNTIF(Ajustes!$A$3:$A$150,B112),"SI",IF(AND(D112=0,E112=0,NOT(ISBLANK(D112)),NOT(ISBLANK(E112))),"SI","")))</f>
        <v>SI</v>
      </c>
    </row>
    <row r="113" spans="1:9" x14ac:dyDescent="0.3">
      <c r="A113" s="43" t="s">
        <v>120</v>
      </c>
      <c r="B113" s="43" t="s">
        <v>141</v>
      </c>
      <c r="C113" s="9">
        <v>45880</v>
      </c>
      <c r="D113" s="6">
        <v>0</v>
      </c>
      <c r="E113" s="6">
        <v>0</v>
      </c>
      <c r="F113" s="21">
        <f>SUMIF(Ajustes!$A$3:$A$150,Medicamentos!B113,Ajustes!$C$3:$C$150)+SUMIF(Ajustes!$A$3:$A$150,Medicamentos!B113,Ajustes!$E$3:$E$150)</f>
        <v>0</v>
      </c>
      <c r="G113" s="44">
        <f t="shared" si="4"/>
        <v>0</v>
      </c>
      <c r="H113" s="45">
        <f t="shared" si="5"/>
        <v>0</v>
      </c>
      <c r="I113" s="22" t="str">
        <f>IF(AND(D113="0",E113="0"),"SI",IF(COUNTIF(Ajustes!$A$3:$A$150,B113),"SI",IF(AND(D113=0,E113=0,NOT(ISBLANK(D113)),NOT(ISBLANK(E113))),"SI","")))</f>
        <v>SI</v>
      </c>
    </row>
    <row r="114" spans="1:9" x14ac:dyDescent="0.3">
      <c r="A114" s="43" t="s">
        <v>120</v>
      </c>
      <c r="B114" s="43" t="s">
        <v>142</v>
      </c>
      <c r="C114" s="9">
        <v>45912</v>
      </c>
      <c r="D114" s="6">
        <v>19</v>
      </c>
      <c r="E114" s="6">
        <v>21</v>
      </c>
      <c r="F114" s="21">
        <f>SUMIF(Ajustes!$A$3:$A$150,Medicamentos!B114,Ajustes!$C$3:$C$150)+SUMIF(Ajustes!$A$3:$A$150,Medicamentos!B114,Ajustes!$E$3:$E$150)</f>
        <v>14610.69</v>
      </c>
      <c r="G114" s="44">
        <f t="shared" si="4"/>
        <v>2</v>
      </c>
      <c r="H114" s="45">
        <f t="shared" si="5"/>
        <v>0</v>
      </c>
      <c r="I114" s="22" t="str">
        <f>IF(AND(D114="0",E114="0"),"SI",IF(COUNTIF(Ajustes!$A$3:$A$150,B114),"SI",IF(AND(D114=0,E114=0,NOT(ISBLANK(D114)),NOT(ISBLANK(E114))),"SI","")))</f>
        <v>SI</v>
      </c>
    </row>
    <row r="115" spans="1:9" x14ac:dyDescent="0.3">
      <c r="A115" s="43" t="s">
        <v>120</v>
      </c>
      <c r="B115" s="43" t="s">
        <v>143</v>
      </c>
      <c r="C115" s="9">
        <v>45912</v>
      </c>
      <c r="D115" s="6">
        <v>2</v>
      </c>
      <c r="E115" s="6">
        <v>2</v>
      </c>
      <c r="F115" s="21">
        <f>SUMIF(Ajustes!$A$3:$A$150,Medicamentos!B115,Ajustes!$C$3:$C$150)+SUMIF(Ajustes!$A$3:$A$150,Medicamentos!B115,Ajustes!$E$3:$E$150)</f>
        <v>0</v>
      </c>
      <c r="G115" s="44">
        <f t="shared" si="4"/>
        <v>0</v>
      </c>
      <c r="H115" s="45">
        <f t="shared" si="5"/>
        <v>0</v>
      </c>
      <c r="I115" s="22" t="str">
        <f>IF(AND(D115="0",E115="0"),"SI",IF(COUNTIF(Ajustes!$A$3:$A$150,B115),"SI",IF(AND(D115=0,E115=0,NOT(ISBLANK(D115)),NOT(ISBLANK(E115))),"SI","")))</f>
        <v>SI</v>
      </c>
    </row>
    <row r="116" spans="1:9" x14ac:dyDescent="0.3">
      <c r="A116" s="43" t="s">
        <v>120</v>
      </c>
      <c r="B116" s="43" t="s">
        <v>144</v>
      </c>
      <c r="C116" s="9">
        <v>45912</v>
      </c>
      <c r="D116" s="6">
        <v>58</v>
      </c>
      <c r="E116" s="6">
        <v>58</v>
      </c>
      <c r="F116" s="21">
        <f>SUMIF(Ajustes!$A$3:$A$150,Medicamentos!B116,Ajustes!$C$3:$C$150)+SUMIF(Ajustes!$A$3:$A$150,Medicamentos!B116,Ajustes!$E$3:$E$150)</f>
        <v>0</v>
      </c>
      <c r="G116" s="44">
        <f t="shared" si="4"/>
        <v>0</v>
      </c>
      <c r="H116" s="45">
        <f t="shared" si="5"/>
        <v>0</v>
      </c>
      <c r="I116" s="22" t="str">
        <f>IF(AND(D116="0",E116="0"),"SI",IF(COUNTIF(Ajustes!$A$3:$A$150,B116),"SI",IF(AND(D116=0,E116=0,NOT(ISBLANK(D116)),NOT(ISBLANK(E116))),"SI","")))</f>
        <v>SI</v>
      </c>
    </row>
    <row r="117" spans="1:9" x14ac:dyDescent="0.3">
      <c r="A117" s="43" t="s">
        <v>120</v>
      </c>
      <c r="B117" s="43" t="s">
        <v>145</v>
      </c>
      <c r="C117" s="9">
        <v>45912</v>
      </c>
      <c r="D117" s="6">
        <v>2</v>
      </c>
      <c r="E117" s="6">
        <v>2</v>
      </c>
      <c r="F117" s="21">
        <f>SUMIF(Ajustes!$A$3:$A$150,Medicamentos!B117,Ajustes!$C$3:$C$150)+SUMIF(Ajustes!$A$3:$A$150,Medicamentos!B117,Ajustes!$E$3:$E$150)</f>
        <v>0</v>
      </c>
      <c r="G117" s="44">
        <f t="shared" si="4"/>
        <v>0</v>
      </c>
      <c r="H117" s="45">
        <f t="shared" si="5"/>
        <v>0</v>
      </c>
      <c r="I117" s="22" t="str">
        <f>IF(AND(D117="0",E117="0"),"SI",IF(COUNTIF(Ajustes!$A$3:$A$150,B117),"SI",IF(AND(D117=0,E117=0,NOT(ISBLANK(D117)),NOT(ISBLANK(E117))),"SI","")))</f>
        <v>SI</v>
      </c>
    </row>
    <row r="118" spans="1:9" x14ac:dyDescent="0.3">
      <c r="A118" s="43" t="s">
        <v>120</v>
      </c>
      <c r="B118" s="43" t="s">
        <v>146</v>
      </c>
      <c r="C118" s="9">
        <v>45912</v>
      </c>
      <c r="D118" s="6">
        <v>0</v>
      </c>
      <c r="E118" s="6">
        <v>0</v>
      </c>
      <c r="F118" s="21">
        <f>SUMIF(Ajustes!$A$3:$A$150,Medicamentos!B118,Ajustes!$C$3:$C$150)+SUMIF(Ajustes!$A$3:$A$150,Medicamentos!B118,Ajustes!$E$3:$E$150)</f>
        <v>0</v>
      </c>
      <c r="G118" s="44">
        <f t="shared" si="4"/>
        <v>0</v>
      </c>
      <c r="H118" s="45">
        <f t="shared" si="5"/>
        <v>0</v>
      </c>
      <c r="I118" s="22" t="str">
        <f>IF(AND(D118="0",E118="0"),"SI",IF(COUNTIF(Ajustes!$A$3:$A$150,B118),"SI",IF(AND(D118=0,E118=0,NOT(ISBLANK(D118)),NOT(ISBLANK(E118))),"SI","")))</f>
        <v>SI</v>
      </c>
    </row>
    <row r="119" spans="1:9" x14ac:dyDescent="0.3">
      <c r="A119" s="43" t="s">
        <v>120</v>
      </c>
      <c r="B119" s="43" t="s">
        <v>147</v>
      </c>
      <c r="C119" s="9">
        <v>45912</v>
      </c>
      <c r="D119" s="6">
        <v>5</v>
      </c>
      <c r="E119" s="6">
        <v>5</v>
      </c>
      <c r="F119" s="21">
        <f>SUMIF(Ajustes!$A$3:$A$150,Medicamentos!B119,Ajustes!$C$3:$C$150)+SUMIF(Ajustes!$A$3:$A$150,Medicamentos!B119,Ajustes!$E$3:$E$150)</f>
        <v>0</v>
      </c>
      <c r="G119" s="44">
        <f t="shared" si="4"/>
        <v>0</v>
      </c>
      <c r="H119" s="45">
        <f t="shared" si="5"/>
        <v>0</v>
      </c>
      <c r="I119" s="22" t="str">
        <f>IF(AND(D119="0",E119="0"),"SI",IF(COUNTIF(Ajustes!$A$3:$A$150,B119),"SI",IF(AND(D119=0,E119=0,NOT(ISBLANK(D119)),NOT(ISBLANK(E119))),"SI","")))</f>
        <v>SI</v>
      </c>
    </row>
    <row r="120" spans="1:9" x14ac:dyDescent="0.3">
      <c r="A120" s="43" t="s">
        <v>120</v>
      </c>
      <c r="B120" s="43" t="s">
        <v>148</v>
      </c>
      <c r="C120" s="9">
        <v>45880</v>
      </c>
      <c r="D120" s="6">
        <v>0</v>
      </c>
      <c r="E120" s="6">
        <v>0</v>
      </c>
      <c r="F120" s="21">
        <f>SUMIF(Ajustes!$A$3:$A$150,Medicamentos!B120,Ajustes!$C$3:$C$150)+SUMIF(Ajustes!$A$3:$A$150,Medicamentos!B120,Ajustes!$E$3:$E$150)</f>
        <v>0</v>
      </c>
      <c r="G120" s="44">
        <f t="shared" si="4"/>
        <v>0</v>
      </c>
      <c r="H120" s="45">
        <f t="shared" si="5"/>
        <v>0</v>
      </c>
      <c r="I120" s="22" t="str">
        <f>IF(AND(D120="0",E120="0"),"SI",IF(COUNTIF(Ajustes!$A$3:$A$150,B120),"SI",IF(AND(D120=0,E120=0,NOT(ISBLANK(D120)),NOT(ISBLANK(E120))),"SI","")))</f>
        <v>SI</v>
      </c>
    </row>
    <row r="121" spans="1:9" x14ac:dyDescent="0.3">
      <c r="A121" s="43" t="s">
        <v>120</v>
      </c>
      <c r="B121" s="43" t="s">
        <v>149</v>
      </c>
      <c r="C121" s="9">
        <v>45912</v>
      </c>
      <c r="D121" s="6">
        <v>0</v>
      </c>
      <c r="E121" s="6">
        <v>0</v>
      </c>
      <c r="F121" s="21">
        <f>SUMIF(Ajustes!$A$3:$A$150,Medicamentos!B121,Ajustes!$C$3:$C$150)+SUMIF(Ajustes!$A$3:$A$150,Medicamentos!B121,Ajustes!$E$3:$E$150)</f>
        <v>0</v>
      </c>
      <c r="G121" s="44">
        <f t="shared" si="4"/>
        <v>0</v>
      </c>
      <c r="H121" s="45">
        <f t="shared" si="5"/>
        <v>0</v>
      </c>
      <c r="I121" s="22" t="str">
        <f>IF(AND(D121="0",E121="0"),"SI",IF(COUNTIF(Ajustes!$A$3:$A$150,B121),"SI",IF(AND(D121=0,E121=0,NOT(ISBLANK(D121)),NOT(ISBLANK(E121))),"SI","")))</f>
        <v>SI</v>
      </c>
    </row>
    <row r="122" spans="1:9" x14ac:dyDescent="0.3">
      <c r="A122" s="43" t="s">
        <v>120</v>
      </c>
      <c r="B122" s="43" t="s">
        <v>150</v>
      </c>
      <c r="C122" s="9">
        <v>45912</v>
      </c>
      <c r="D122" s="6">
        <v>6</v>
      </c>
      <c r="E122" s="6">
        <v>6</v>
      </c>
      <c r="F122" s="21">
        <f>SUMIF(Ajustes!$A$3:$A$150,Medicamentos!B122,Ajustes!$C$3:$C$150)+SUMIF(Ajustes!$A$3:$A$150,Medicamentos!B122,Ajustes!$E$3:$E$150)</f>
        <v>0</v>
      </c>
      <c r="G122" s="44">
        <f t="shared" si="4"/>
        <v>0</v>
      </c>
      <c r="H122" s="45">
        <f t="shared" si="5"/>
        <v>0</v>
      </c>
      <c r="I122" s="22" t="str">
        <f>IF(AND(D122="0",E122="0"),"SI",IF(COUNTIF(Ajustes!$A$3:$A$150,B122),"SI",IF(AND(D122=0,E122=0,NOT(ISBLANK(D122)),NOT(ISBLANK(E122))),"SI","")))</f>
        <v>SI</v>
      </c>
    </row>
    <row r="123" spans="1:9" x14ac:dyDescent="0.3">
      <c r="A123" s="43" t="s">
        <v>120</v>
      </c>
      <c r="B123" s="43" t="s">
        <v>151</v>
      </c>
      <c r="C123" s="9">
        <v>45912</v>
      </c>
      <c r="D123" s="6">
        <v>142</v>
      </c>
      <c r="E123" s="6">
        <v>144</v>
      </c>
      <c r="F123" s="21">
        <f>SUMIF(Ajustes!$A$3:$A$150,Medicamentos!B123,Ajustes!$C$3:$C$150)+SUMIF(Ajustes!$A$3:$A$150,Medicamentos!B123,Ajustes!$E$3:$E$150)</f>
        <v>43550.189999999995</v>
      </c>
      <c r="G123" s="44">
        <f t="shared" si="4"/>
        <v>2</v>
      </c>
      <c r="H123" s="45">
        <f t="shared" si="5"/>
        <v>0</v>
      </c>
      <c r="I123" s="22" t="str">
        <f>IF(AND(D123="0",E123="0"),"SI",IF(COUNTIF(Ajustes!$A$3:$A$150,B123),"SI",IF(AND(D123=0,E123=0,NOT(ISBLANK(D123)),NOT(ISBLANK(E123))),"SI","")))</f>
        <v>SI</v>
      </c>
    </row>
    <row r="124" spans="1:9" x14ac:dyDescent="0.3">
      <c r="A124" s="43" t="s">
        <v>120</v>
      </c>
      <c r="B124" s="43" t="s">
        <v>152</v>
      </c>
      <c r="C124" s="9">
        <v>45911</v>
      </c>
      <c r="D124" s="6">
        <v>5</v>
      </c>
      <c r="E124" s="6">
        <v>5</v>
      </c>
      <c r="F124" s="21">
        <f>SUMIF(Ajustes!$A$3:$A$150,Medicamentos!B124,Ajustes!$C$3:$C$150)+SUMIF(Ajustes!$A$3:$A$150,Medicamentos!B124,Ajustes!$E$3:$E$150)</f>
        <v>0</v>
      </c>
      <c r="G124" s="44">
        <f t="shared" si="4"/>
        <v>0</v>
      </c>
      <c r="H124" s="45">
        <f t="shared" si="5"/>
        <v>0</v>
      </c>
      <c r="I124" s="22" t="str">
        <f>IF(AND(D124="0",E124="0"),"SI",IF(COUNTIF(Ajustes!$A$3:$A$150,B124),"SI",IF(AND(D124=0,E124=0,NOT(ISBLANK(D124)),NOT(ISBLANK(E124))),"SI","")))</f>
        <v>SI</v>
      </c>
    </row>
    <row r="125" spans="1:9" x14ac:dyDescent="0.3">
      <c r="A125" s="43" t="s">
        <v>120</v>
      </c>
      <c r="B125" s="43" t="s">
        <v>153</v>
      </c>
      <c r="C125" s="9">
        <v>45911</v>
      </c>
      <c r="D125" s="6">
        <v>68</v>
      </c>
      <c r="E125" s="6">
        <v>68</v>
      </c>
      <c r="F125" s="21">
        <f>SUMIF(Ajustes!$A$3:$A$150,Medicamentos!B125,Ajustes!$C$3:$C$150)+SUMIF(Ajustes!$A$3:$A$150,Medicamentos!B125,Ajustes!$E$3:$E$150)</f>
        <v>0</v>
      </c>
      <c r="G125" s="44">
        <f t="shared" si="4"/>
        <v>0</v>
      </c>
      <c r="H125" s="45">
        <f t="shared" si="5"/>
        <v>0</v>
      </c>
      <c r="I125" s="22" t="str">
        <f>IF(AND(D125="0",E125="0"),"SI",IF(COUNTIF(Ajustes!$A$3:$A$150,B125),"SI",IF(AND(D125=0,E125=0,NOT(ISBLANK(D125)),NOT(ISBLANK(E125))),"SI","")))</f>
        <v>SI</v>
      </c>
    </row>
    <row r="126" spans="1:9" x14ac:dyDescent="0.3">
      <c r="A126" s="43" t="s">
        <v>120</v>
      </c>
      <c r="B126" s="43" t="s">
        <v>154</v>
      </c>
      <c r="C126" s="9">
        <v>45912</v>
      </c>
      <c r="D126" s="6">
        <v>12</v>
      </c>
      <c r="E126" s="6">
        <v>11</v>
      </c>
      <c r="F126" s="21">
        <f>SUMIF(Ajustes!$A$3:$A$150,Medicamentos!B126,Ajustes!$C$3:$C$150)+SUMIF(Ajustes!$A$3:$A$150,Medicamentos!B126,Ajustes!$E$3:$E$150)</f>
        <v>-29750</v>
      </c>
      <c r="G126" s="44">
        <f t="shared" si="4"/>
        <v>-1</v>
      </c>
      <c r="H126" s="45">
        <f t="shared" si="5"/>
        <v>0</v>
      </c>
      <c r="I126" s="22" t="str">
        <f>IF(AND(D126="0",E126="0"),"SI",IF(COUNTIF(Ajustes!$A$3:$A$150,B126),"SI",IF(AND(D126=0,E126=0,NOT(ISBLANK(D126)),NOT(ISBLANK(E126))),"SI","")))</f>
        <v>SI</v>
      </c>
    </row>
    <row r="127" spans="1:9" x14ac:dyDescent="0.3">
      <c r="A127" s="43" t="s">
        <v>120</v>
      </c>
      <c r="B127" s="43" t="s">
        <v>155</v>
      </c>
      <c r="C127" s="9">
        <v>45912</v>
      </c>
      <c r="D127" s="6">
        <v>4</v>
      </c>
      <c r="E127" s="6">
        <v>4</v>
      </c>
      <c r="F127" s="21">
        <f>SUMIF(Ajustes!$A$3:$A$150,Medicamentos!B127,Ajustes!$C$3:$C$150)+SUMIF(Ajustes!$A$3:$A$150,Medicamentos!B127,Ajustes!$E$3:$E$150)</f>
        <v>0</v>
      </c>
      <c r="G127" s="44">
        <f t="shared" si="4"/>
        <v>0</v>
      </c>
      <c r="H127" s="45">
        <f t="shared" si="5"/>
        <v>0</v>
      </c>
      <c r="I127" s="22" t="str">
        <f>IF(AND(D127="0",E127="0"),"SI",IF(COUNTIF(Ajustes!$A$3:$A$150,B127),"SI",IF(AND(D127=0,E127=0,NOT(ISBLANK(D127)),NOT(ISBLANK(E127))),"SI","")))</f>
        <v>SI</v>
      </c>
    </row>
    <row r="128" spans="1:9" x14ac:dyDescent="0.3">
      <c r="A128" s="43" t="s">
        <v>120</v>
      </c>
      <c r="B128" s="43" t="s">
        <v>156</v>
      </c>
      <c r="C128" s="9">
        <v>45911</v>
      </c>
      <c r="D128" s="6">
        <v>1</v>
      </c>
      <c r="E128" s="6">
        <v>1</v>
      </c>
      <c r="F128" s="21">
        <f>SUMIF(Ajustes!$A$3:$A$150,Medicamentos!B128,Ajustes!$C$3:$C$150)+SUMIF(Ajustes!$A$3:$A$150,Medicamentos!B128,Ajustes!$E$3:$E$150)</f>
        <v>0</v>
      </c>
      <c r="G128" s="44">
        <f t="shared" ref="G128:G154" si="6">E128-D128</f>
        <v>0</v>
      </c>
      <c r="H128" s="45">
        <f t="shared" ref="H128:H154" si="7">IF(C128&lt;&gt;"",0,"")</f>
        <v>0</v>
      </c>
      <c r="I128" s="22" t="str">
        <f>IF(AND(D128="0",E128="0"),"SI",IF(COUNTIF(Ajustes!$A$3:$A$150,B128),"SI",IF(AND(D128=0,E128=0,NOT(ISBLANK(D128)),NOT(ISBLANK(E128))),"SI","")))</f>
        <v>SI</v>
      </c>
    </row>
    <row r="129" spans="1:9" x14ac:dyDescent="0.3">
      <c r="A129" s="43" t="s">
        <v>120</v>
      </c>
      <c r="B129" s="43" t="s">
        <v>157</v>
      </c>
      <c r="C129" s="9">
        <v>45911</v>
      </c>
      <c r="D129" s="6">
        <v>10</v>
      </c>
      <c r="E129" s="6">
        <v>10</v>
      </c>
      <c r="F129" s="21">
        <f>SUMIF(Ajustes!$A$3:$A$150,Medicamentos!B129,Ajustes!$C$3:$C$150)+SUMIF(Ajustes!$A$3:$A$150,Medicamentos!B129,Ajustes!$E$3:$E$150)</f>
        <v>0</v>
      </c>
      <c r="G129" s="44">
        <f t="shared" si="6"/>
        <v>0</v>
      </c>
      <c r="H129" s="45">
        <f t="shared" si="7"/>
        <v>0</v>
      </c>
      <c r="I129" s="22" t="str">
        <f>IF(AND(D129="0",E129="0"),"SI",IF(COUNTIF(Ajustes!$A$3:$A$150,B129),"SI",IF(AND(D129=0,E129=0,NOT(ISBLANK(D129)),NOT(ISBLANK(E129))),"SI","")))</f>
        <v>SI</v>
      </c>
    </row>
    <row r="130" spans="1:9" x14ac:dyDescent="0.3">
      <c r="A130" s="43" t="s">
        <v>120</v>
      </c>
      <c r="B130" s="43" t="s">
        <v>158</v>
      </c>
      <c r="C130" s="9">
        <v>45911</v>
      </c>
      <c r="D130" s="6">
        <v>11</v>
      </c>
      <c r="E130" s="6">
        <v>10</v>
      </c>
      <c r="F130" s="21">
        <f>SUMIF(Ajustes!$A$3:$A$150,Medicamentos!B130,Ajustes!$C$3:$C$150)+SUMIF(Ajustes!$A$3:$A$150,Medicamentos!B130,Ajustes!$E$3:$E$150)</f>
        <v>-14990</v>
      </c>
      <c r="G130" s="44">
        <f t="shared" si="6"/>
        <v>-1</v>
      </c>
      <c r="H130" s="45">
        <f t="shared" si="7"/>
        <v>0</v>
      </c>
      <c r="I130" s="22" t="str">
        <f>IF(AND(D130="0",E130="0"),"SI",IF(COUNTIF(Ajustes!$A$3:$A$150,B130),"SI",IF(AND(D130=0,E130=0,NOT(ISBLANK(D130)),NOT(ISBLANK(E130))),"SI","")))</f>
        <v>SI</v>
      </c>
    </row>
    <row r="131" spans="1:9" x14ac:dyDescent="0.3">
      <c r="A131" s="43" t="s">
        <v>120</v>
      </c>
      <c r="B131" s="43" t="s">
        <v>159</v>
      </c>
      <c r="C131" s="9">
        <v>45911</v>
      </c>
      <c r="D131" s="6">
        <v>37</v>
      </c>
      <c r="E131" s="6">
        <v>38</v>
      </c>
      <c r="F131" s="21">
        <f>SUMIF(Ajustes!$A$3:$A$150,Medicamentos!B131,Ajustes!$C$3:$C$150)+SUMIF(Ajustes!$A$3:$A$150,Medicamentos!B131,Ajustes!$E$3:$E$150)</f>
        <v>382014.12</v>
      </c>
      <c r="G131" s="44">
        <f t="shared" si="6"/>
        <v>1</v>
      </c>
      <c r="H131" s="45">
        <f t="shared" si="7"/>
        <v>0</v>
      </c>
      <c r="I131" s="22" t="str">
        <f>IF(AND(D131="0",E131="0"),"SI",IF(COUNTIF(Ajustes!$A$3:$A$150,B131),"SI",IF(AND(D131=0,E131=0,NOT(ISBLANK(D131)),NOT(ISBLANK(E131))),"SI","")))</f>
        <v>SI</v>
      </c>
    </row>
    <row r="132" spans="1:9" x14ac:dyDescent="0.3">
      <c r="A132" s="43" t="s">
        <v>120</v>
      </c>
      <c r="B132" s="43" t="s">
        <v>160</v>
      </c>
      <c r="C132" s="9">
        <v>45880</v>
      </c>
      <c r="D132" s="6">
        <v>0</v>
      </c>
      <c r="E132" s="6">
        <v>0</v>
      </c>
      <c r="F132" s="21">
        <f>SUMIF(Ajustes!$A$3:$A$150,Medicamentos!B132,Ajustes!$C$3:$C$150)+SUMIF(Ajustes!$A$3:$A$150,Medicamentos!B132,Ajustes!$E$3:$E$150)</f>
        <v>0</v>
      </c>
      <c r="G132" s="44">
        <f t="shared" si="6"/>
        <v>0</v>
      </c>
      <c r="H132" s="45">
        <f t="shared" si="7"/>
        <v>0</v>
      </c>
      <c r="I132" s="22" t="str">
        <f>IF(AND(D132="0",E132="0"),"SI",IF(COUNTIF(Ajustes!$A$3:$A$150,B132),"SI",IF(AND(D132=0,E132=0,NOT(ISBLANK(D132)),NOT(ISBLANK(E132))),"SI","")))</f>
        <v>SI</v>
      </c>
    </row>
    <row r="133" spans="1:9" x14ac:dyDescent="0.3">
      <c r="A133" s="43" t="s">
        <v>120</v>
      </c>
      <c r="B133" s="43" t="s">
        <v>161</v>
      </c>
      <c r="C133" s="9">
        <v>45911</v>
      </c>
      <c r="D133" s="6">
        <v>18</v>
      </c>
      <c r="E133" s="6">
        <v>18</v>
      </c>
      <c r="F133" s="21">
        <f>SUMIF(Ajustes!$A$3:$A$150,Medicamentos!B133,Ajustes!$C$3:$C$150)+SUMIF(Ajustes!$A$3:$A$150,Medicamentos!B133,Ajustes!$E$3:$E$150)</f>
        <v>0</v>
      </c>
      <c r="G133" s="44">
        <f t="shared" si="6"/>
        <v>0</v>
      </c>
      <c r="H133" s="45">
        <f t="shared" si="7"/>
        <v>0</v>
      </c>
      <c r="I133" s="22" t="str">
        <f>IF(AND(D133="0",E133="0"),"SI",IF(COUNTIF(Ajustes!$A$3:$A$150,B133),"SI",IF(AND(D133=0,E133=0,NOT(ISBLANK(D133)),NOT(ISBLANK(E133))),"SI","")))</f>
        <v>SI</v>
      </c>
    </row>
    <row r="134" spans="1:9" x14ac:dyDescent="0.3">
      <c r="A134" s="43" t="s">
        <v>120</v>
      </c>
      <c r="B134" s="43" t="s">
        <v>162</v>
      </c>
      <c r="C134" s="9">
        <v>45910</v>
      </c>
      <c r="D134" s="6">
        <v>14</v>
      </c>
      <c r="E134" s="6">
        <v>14</v>
      </c>
      <c r="F134" s="21">
        <f>SUMIF(Ajustes!$A$3:$A$150,Medicamentos!B134,Ajustes!$C$3:$C$150)+SUMIF(Ajustes!$A$3:$A$150,Medicamentos!B134,Ajustes!$E$3:$E$150)</f>
        <v>0</v>
      </c>
      <c r="G134" s="44">
        <f t="shared" si="6"/>
        <v>0</v>
      </c>
      <c r="H134" s="45">
        <f t="shared" si="7"/>
        <v>0</v>
      </c>
      <c r="I134" s="22" t="str">
        <f>IF(AND(D134="0",E134="0"),"SI",IF(COUNTIF(Ajustes!$A$3:$A$150,B134),"SI",IF(AND(D134=0,E134=0,NOT(ISBLANK(D134)),NOT(ISBLANK(E134))),"SI","")))</f>
        <v>SI</v>
      </c>
    </row>
    <row r="135" spans="1:9" x14ac:dyDescent="0.3">
      <c r="A135" s="43" t="s">
        <v>120</v>
      </c>
      <c r="B135" s="43" t="s">
        <v>163</v>
      </c>
      <c r="C135" s="9">
        <v>45910</v>
      </c>
      <c r="D135" s="6">
        <v>8</v>
      </c>
      <c r="E135" s="6">
        <v>8</v>
      </c>
      <c r="F135" s="21">
        <f>SUMIF(Ajustes!$A$3:$A$150,Medicamentos!B135,Ajustes!$C$3:$C$150)+SUMIF(Ajustes!$A$3:$A$150,Medicamentos!B135,Ajustes!$E$3:$E$150)</f>
        <v>0</v>
      </c>
      <c r="G135" s="44">
        <f t="shared" si="6"/>
        <v>0</v>
      </c>
      <c r="H135" s="45">
        <f t="shared" si="7"/>
        <v>0</v>
      </c>
      <c r="I135" s="22" t="str">
        <f>IF(AND(D135="0",E135="0"),"SI",IF(COUNTIF(Ajustes!$A$3:$A$150,B135),"SI",IF(AND(D135=0,E135=0,NOT(ISBLANK(D135)),NOT(ISBLANK(E135))),"SI","")))</f>
        <v>SI</v>
      </c>
    </row>
    <row r="136" spans="1:9" x14ac:dyDescent="0.3">
      <c r="A136" s="43" t="s">
        <v>120</v>
      </c>
      <c r="B136" s="43" t="s">
        <v>164</v>
      </c>
      <c r="C136" s="9">
        <v>45910</v>
      </c>
      <c r="D136" s="6">
        <v>13</v>
      </c>
      <c r="E136" s="6">
        <v>13</v>
      </c>
      <c r="F136" s="21">
        <f>SUMIF(Ajustes!$A$3:$A$150,Medicamentos!B136,Ajustes!$C$3:$C$150)+SUMIF(Ajustes!$A$3:$A$150,Medicamentos!B136,Ajustes!$E$3:$E$150)</f>
        <v>0</v>
      </c>
      <c r="G136" s="44">
        <f t="shared" si="6"/>
        <v>0</v>
      </c>
      <c r="H136" s="45">
        <f t="shared" si="7"/>
        <v>0</v>
      </c>
      <c r="I136" s="22" t="str">
        <f>IF(AND(D136="0",E136="0"),"SI",IF(COUNTIF(Ajustes!$A$3:$A$150,B136),"SI",IF(AND(D136=0,E136=0,NOT(ISBLANK(D136)),NOT(ISBLANK(E136))),"SI","")))</f>
        <v>SI</v>
      </c>
    </row>
    <row r="137" spans="1:9" x14ac:dyDescent="0.3">
      <c r="A137" s="43" t="s">
        <v>120</v>
      </c>
      <c r="B137" s="43" t="s">
        <v>165</v>
      </c>
      <c r="C137" s="9">
        <v>45910</v>
      </c>
      <c r="D137" s="6">
        <v>3</v>
      </c>
      <c r="E137" s="6">
        <v>2</v>
      </c>
      <c r="F137" s="21">
        <f>SUMIF(Ajustes!$A$3:$A$150,Medicamentos!B137,Ajustes!$C$3:$C$150)+SUMIF(Ajustes!$A$3:$A$150,Medicamentos!B137,Ajustes!$E$3:$E$150)</f>
        <v>-23650</v>
      </c>
      <c r="G137" s="44">
        <f t="shared" si="6"/>
        <v>-1</v>
      </c>
      <c r="H137" s="45">
        <f t="shared" si="7"/>
        <v>0</v>
      </c>
      <c r="I137" s="22" t="str">
        <f>IF(AND(D137="0",E137="0"),"SI",IF(COUNTIF(Ajustes!$A$3:$A$150,B137),"SI",IF(AND(D137=0,E137=0,NOT(ISBLANK(D137)),NOT(ISBLANK(E137))),"SI","")))</f>
        <v>SI</v>
      </c>
    </row>
    <row r="138" spans="1:9" x14ac:dyDescent="0.3">
      <c r="A138" s="43" t="s">
        <v>120</v>
      </c>
      <c r="B138" s="43" t="s">
        <v>166</v>
      </c>
      <c r="C138" s="9">
        <v>45880</v>
      </c>
      <c r="D138" s="6">
        <v>0</v>
      </c>
      <c r="E138" s="6">
        <v>0</v>
      </c>
      <c r="F138" s="21">
        <f>SUMIF(Ajustes!$A$3:$A$150,Medicamentos!B138,Ajustes!$C$3:$C$150)+SUMIF(Ajustes!$A$3:$A$150,Medicamentos!B138,Ajustes!$E$3:$E$150)</f>
        <v>0</v>
      </c>
      <c r="G138" s="44">
        <f t="shared" si="6"/>
        <v>0</v>
      </c>
      <c r="H138" s="45">
        <f t="shared" si="7"/>
        <v>0</v>
      </c>
      <c r="I138" s="22" t="str">
        <f>IF(AND(D138="0",E138="0"),"SI",IF(COUNTIF(Ajustes!$A$3:$A$150,B138),"SI",IF(AND(D138=0,E138=0,NOT(ISBLANK(D138)),NOT(ISBLANK(E138))),"SI","")))</f>
        <v>SI</v>
      </c>
    </row>
    <row r="139" spans="1:9" x14ac:dyDescent="0.3">
      <c r="A139" s="43" t="s">
        <v>120</v>
      </c>
      <c r="B139" s="43" t="s">
        <v>167</v>
      </c>
      <c r="C139" s="9">
        <v>45880</v>
      </c>
      <c r="D139" s="6">
        <v>0</v>
      </c>
      <c r="E139" s="6">
        <v>0</v>
      </c>
      <c r="F139" s="21">
        <f>SUMIF(Ajustes!$A$3:$A$150,Medicamentos!B139,Ajustes!$C$3:$C$150)+SUMIF(Ajustes!$A$3:$A$150,Medicamentos!B139,Ajustes!$E$3:$E$150)</f>
        <v>0</v>
      </c>
      <c r="G139" s="44">
        <f t="shared" si="6"/>
        <v>0</v>
      </c>
      <c r="H139" s="45">
        <f t="shared" si="7"/>
        <v>0</v>
      </c>
      <c r="I139" s="22" t="str">
        <f>IF(AND(D139="0",E139="0"),"SI",IF(COUNTIF(Ajustes!$A$3:$A$150,B139),"SI",IF(AND(D139=0,E139=0,NOT(ISBLANK(D139)),NOT(ISBLANK(E139))),"SI","")))</f>
        <v>SI</v>
      </c>
    </row>
    <row r="140" spans="1:9" x14ac:dyDescent="0.3">
      <c r="A140" s="43" t="s">
        <v>120</v>
      </c>
      <c r="B140" s="43" t="s">
        <v>168</v>
      </c>
      <c r="C140" s="9">
        <v>45908</v>
      </c>
      <c r="D140" s="6">
        <v>21</v>
      </c>
      <c r="E140" s="6">
        <v>21</v>
      </c>
      <c r="F140" s="21">
        <f>SUMIF(Ajustes!$A$3:$A$150,Medicamentos!B140,Ajustes!$C$3:$C$150)+SUMIF(Ajustes!$A$3:$A$150,Medicamentos!B140,Ajustes!$E$3:$E$150)</f>
        <v>4352.5800000000017</v>
      </c>
      <c r="G140" s="44">
        <f t="shared" si="6"/>
        <v>0</v>
      </c>
      <c r="H140" s="45">
        <f t="shared" si="7"/>
        <v>0</v>
      </c>
      <c r="I140" s="22" t="str">
        <f>IF(AND(D140="0",E140="0"),"SI",IF(COUNTIF(Ajustes!$A$3:$A$150,B140),"SI",IF(AND(D140=0,E140=0,NOT(ISBLANK(D140)),NOT(ISBLANK(E140))),"SI","")))</f>
        <v>SI</v>
      </c>
    </row>
    <row r="141" spans="1:9" x14ac:dyDescent="0.3">
      <c r="A141" s="43" t="s">
        <v>120</v>
      </c>
      <c r="B141" s="43" t="s">
        <v>169</v>
      </c>
      <c r="C141" s="9">
        <v>45908</v>
      </c>
      <c r="D141" s="6">
        <v>7</v>
      </c>
      <c r="E141" s="6">
        <v>7</v>
      </c>
      <c r="F141" s="21">
        <f>SUMIF(Ajustes!$A$3:$A$150,Medicamentos!B141,Ajustes!$C$3:$C$150)+SUMIF(Ajustes!$A$3:$A$150,Medicamentos!B141,Ajustes!$E$3:$E$150)</f>
        <v>0</v>
      </c>
      <c r="G141" s="44">
        <f t="shared" si="6"/>
        <v>0</v>
      </c>
      <c r="H141" s="45">
        <f t="shared" si="7"/>
        <v>0</v>
      </c>
      <c r="I141" s="22" t="str">
        <f>IF(AND(D141="0",E141="0"),"SI",IF(COUNTIF(Ajustes!$A$3:$A$150,B141),"SI",IF(AND(D141=0,E141=0,NOT(ISBLANK(D141)),NOT(ISBLANK(E141))),"SI","")))</f>
        <v>SI</v>
      </c>
    </row>
    <row r="142" spans="1:9" x14ac:dyDescent="0.3">
      <c r="A142" s="43" t="s">
        <v>120</v>
      </c>
      <c r="B142" s="43" t="s">
        <v>170</v>
      </c>
      <c r="C142" s="9">
        <v>45908</v>
      </c>
      <c r="D142" s="6">
        <v>8</v>
      </c>
      <c r="E142" s="6">
        <v>8</v>
      </c>
      <c r="F142" s="21">
        <f>SUMIF(Ajustes!$A$3:$A$150,Medicamentos!B142,Ajustes!$C$3:$C$150)+SUMIF(Ajustes!$A$3:$A$150,Medicamentos!B142,Ajustes!$E$3:$E$150)</f>
        <v>0</v>
      </c>
      <c r="G142" s="44">
        <f t="shared" si="6"/>
        <v>0</v>
      </c>
      <c r="H142" s="45">
        <f t="shared" si="7"/>
        <v>0</v>
      </c>
      <c r="I142" s="22" t="str">
        <f>IF(AND(D142="0",E142="0"),"SI",IF(COUNTIF(Ajustes!$A$3:$A$150,B142),"SI",IF(AND(D142=0,E142=0,NOT(ISBLANK(D142)),NOT(ISBLANK(E142))),"SI","")))</f>
        <v>SI</v>
      </c>
    </row>
    <row r="143" spans="1:9" x14ac:dyDescent="0.3">
      <c r="A143" s="43" t="s">
        <v>120</v>
      </c>
      <c r="B143" s="43" t="s">
        <v>171</v>
      </c>
      <c r="C143" s="9">
        <v>45908</v>
      </c>
      <c r="D143" s="6">
        <v>3</v>
      </c>
      <c r="E143" s="6">
        <v>3</v>
      </c>
      <c r="F143" s="21">
        <f>SUMIF(Ajustes!$A$3:$A$150,Medicamentos!B143,Ajustes!$C$3:$C$150)+SUMIF(Ajustes!$A$3:$A$150,Medicamentos!B143,Ajustes!$E$3:$E$150)</f>
        <v>0</v>
      </c>
      <c r="G143" s="44">
        <f t="shared" si="6"/>
        <v>0</v>
      </c>
      <c r="H143" s="45">
        <f t="shared" si="7"/>
        <v>0</v>
      </c>
      <c r="I143" s="22" t="str">
        <f>IF(AND(D143="0",E143="0"),"SI",IF(COUNTIF(Ajustes!$A$3:$A$150,B143),"SI",IF(AND(D143=0,E143=0,NOT(ISBLANK(D143)),NOT(ISBLANK(E143))),"SI","")))</f>
        <v>SI</v>
      </c>
    </row>
    <row r="144" spans="1:9" x14ac:dyDescent="0.3">
      <c r="A144" s="43" t="s">
        <v>120</v>
      </c>
      <c r="B144" s="43" t="s">
        <v>172</v>
      </c>
      <c r="C144" s="9">
        <v>45880</v>
      </c>
      <c r="D144" s="6">
        <v>0</v>
      </c>
      <c r="E144" s="6">
        <v>0</v>
      </c>
      <c r="F144" s="21">
        <f>SUMIF(Ajustes!$A$3:$A$150,Medicamentos!B144,Ajustes!$C$3:$C$150)+SUMIF(Ajustes!$A$3:$A$150,Medicamentos!B144,Ajustes!$E$3:$E$150)</f>
        <v>0</v>
      </c>
      <c r="G144" s="44">
        <f t="shared" si="6"/>
        <v>0</v>
      </c>
      <c r="H144" s="45">
        <f t="shared" si="7"/>
        <v>0</v>
      </c>
      <c r="I144" s="22" t="str">
        <f>IF(AND(D144="0",E144="0"),"SI",IF(COUNTIF(Ajustes!$A$3:$A$150,B144),"SI",IF(AND(D144=0,E144=0,NOT(ISBLANK(D144)),NOT(ISBLANK(E144))),"SI","")))</f>
        <v>SI</v>
      </c>
    </row>
    <row r="145" spans="1:9" x14ac:dyDescent="0.3">
      <c r="A145" s="56"/>
      <c r="B145" s="56"/>
      <c r="C145" s="9"/>
      <c r="D145" s="6"/>
      <c r="E145" s="6"/>
      <c r="F145" s="21">
        <f>SUMIF(Ajustes!$A$3:$A$150,Medicamentos!B145,Ajustes!$C$3:$C$150)+SUMIF(Ajustes!$A$3:$A$150,Medicamentos!B145,Ajustes!$E$3:$E$150)</f>
        <v>0</v>
      </c>
      <c r="G145" s="44">
        <f t="shared" si="6"/>
        <v>0</v>
      </c>
      <c r="H145" s="45" t="str">
        <f t="shared" si="7"/>
        <v/>
      </c>
      <c r="I145" s="22" t="str">
        <f>IF(AND(D145="0",E145="0"),"SI",IF(COUNTIF(Ajustes!$A$3:$A$150,B145),"SI",IF(AND(D145=0,E145=0,NOT(ISBLANK(D145)),NOT(ISBLANK(E145))),"SI","")))</f>
        <v/>
      </c>
    </row>
    <row r="146" spans="1:9" x14ac:dyDescent="0.3">
      <c r="A146" s="56"/>
      <c r="B146" s="56"/>
      <c r="C146" s="9"/>
      <c r="D146" s="6"/>
      <c r="E146" s="6"/>
      <c r="F146" s="21">
        <f>SUMIF(Ajustes!$A$3:$A$150,Medicamentos!B146,Ajustes!$C$3:$C$150)+SUMIF(Ajustes!$A$3:$A$150,Medicamentos!B146,Ajustes!$E$3:$E$150)</f>
        <v>0</v>
      </c>
      <c r="G146" s="44">
        <f t="shared" si="6"/>
        <v>0</v>
      </c>
      <c r="H146" s="45" t="str">
        <f t="shared" si="7"/>
        <v/>
      </c>
      <c r="I146" s="22" t="str">
        <f>IF(AND(D146="0",E146="0"),"SI",IF(COUNTIF(Ajustes!$A$3:$A$150,B146),"SI",IF(AND(D146=0,E146=0,NOT(ISBLANK(D146)),NOT(ISBLANK(E146))),"SI","")))</f>
        <v/>
      </c>
    </row>
    <row r="147" spans="1:9" x14ac:dyDescent="0.3">
      <c r="A147" s="56"/>
      <c r="B147" s="56"/>
      <c r="C147" s="9"/>
      <c r="D147" s="6"/>
      <c r="E147" s="6"/>
      <c r="F147" s="21">
        <f>SUMIF(Ajustes!$A$3:$A$150,Medicamentos!B147,Ajustes!$C$3:$C$150)+SUMIF(Ajustes!$A$3:$A$150,Medicamentos!B147,Ajustes!$E$3:$E$150)</f>
        <v>0</v>
      </c>
      <c r="G147" s="44">
        <f t="shared" si="6"/>
        <v>0</v>
      </c>
      <c r="H147" s="45" t="str">
        <f t="shared" si="7"/>
        <v/>
      </c>
      <c r="I147" s="22" t="str">
        <f>IF(AND(D147="0",E147="0"),"SI",IF(COUNTIF(Ajustes!$A$3:$A$150,B147),"SI",IF(AND(D147=0,E147=0,NOT(ISBLANK(D147)),NOT(ISBLANK(E147))),"SI","")))</f>
        <v/>
      </c>
    </row>
    <row r="148" spans="1:9" x14ac:dyDescent="0.3">
      <c r="A148" s="56"/>
      <c r="B148" s="56"/>
      <c r="C148" s="9"/>
      <c r="D148" s="6"/>
      <c r="E148" s="6"/>
      <c r="F148" s="21">
        <f>SUMIF(Ajustes!$A$3:$A$150,Medicamentos!B148,Ajustes!$C$3:$C$150)+SUMIF(Ajustes!$A$3:$A$150,Medicamentos!B148,Ajustes!$E$3:$E$150)</f>
        <v>0</v>
      </c>
      <c r="G148" s="44">
        <f t="shared" si="6"/>
        <v>0</v>
      </c>
      <c r="H148" s="45" t="str">
        <f t="shared" si="7"/>
        <v/>
      </c>
      <c r="I148" s="22" t="str">
        <f>IF(AND(D148="0",E148="0"),"SI",IF(COUNTIF(Ajustes!$A$3:$A$150,B148),"SI",IF(AND(D148=0,E148=0,NOT(ISBLANK(D148)),NOT(ISBLANK(E148))),"SI","")))</f>
        <v/>
      </c>
    </row>
    <row r="149" spans="1:9" x14ac:dyDescent="0.3">
      <c r="A149" s="56"/>
      <c r="B149" s="56"/>
      <c r="C149" s="9"/>
      <c r="D149" s="6"/>
      <c r="E149" s="6"/>
      <c r="F149" s="21">
        <f>SUMIF(Ajustes!$A$3:$A$150,Medicamentos!B149,Ajustes!$C$3:$C$150)+SUMIF(Ajustes!$A$3:$A$150,Medicamentos!B149,Ajustes!$E$3:$E$150)</f>
        <v>0</v>
      </c>
      <c r="G149" s="44">
        <f t="shared" si="6"/>
        <v>0</v>
      </c>
      <c r="H149" s="45" t="str">
        <f t="shared" si="7"/>
        <v/>
      </c>
      <c r="I149" s="22" t="str">
        <f>IF(AND(D149="0",E149="0"),"SI",IF(COUNTIF(Ajustes!$A$3:$A$150,B149),"SI",IF(AND(D149=0,E149=0,NOT(ISBLANK(D149)),NOT(ISBLANK(E149))),"SI","")))</f>
        <v/>
      </c>
    </row>
    <row r="150" spans="1:9" x14ac:dyDescent="0.3">
      <c r="A150" s="56"/>
      <c r="B150" s="56"/>
      <c r="C150" s="9"/>
      <c r="D150" s="6"/>
      <c r="E150" s="6"/>
      <c r="F150" s="21">
        <f>SUMIF(Ajustes!$A$3:$A$150,Medicamentos!B150,Ajustes!$C$3:$C$150)+SUMIF(Ajustes!$A$3:$A$150,Medicamentos!B150,Ajustes!$E$3:$E$150)</f>
        <v>0</v>
      </c>
      <c r="G150" s="44">
        <f t="shared" si="6"/>
        <v>0</v>
      </c>
      <c r="H150" s="45" t="str">
        <f t="shared" si="7"/>
        <v/>
      </c>
      <c r="I150" s="22" t="str">
        <f>IF(AND(D150="0",E150="0"),"SI",IF(COUNTIF(Ajustes!$A$3:$A$150,B150),"SI",IF(AND(D150=0,E150=0,NOT(ISBLANK(D150)),NOT(ISBLANK(E150))),"SI","")))</f>
        <v/>
      </c>
    </row>
    <row r="151" spans="1:9" x14ac:dyDescent="0.3">
      <c r="A151" s="56"/>
      <c r="B151" s="56"/>
      <c r="C151" s="9"/>
      <c r="D151" s="6"/>
      <c r="E151" s="6"/>
      <c r="F151" s="21">
        <f>SUMIF(Ajustes!$A$3:$A$150,Medicamentos!B151,Ajustes!$C$3:$C$150)+SUMIF(Ajustes!$A$3:$A$150,Medicamentos!B151,Ajustes!$E$3:$E$150)</f>
        <v>0</v>
      </c>
      <c r="G151" s="44">
        <f t="shared" si="6"/>
        <v>0</v>
      </c>
      <c r="H151" s="45" t="str">
        <f t="shared" si="7"/>
        <v/>
      </c>
      <c r="I151" s="22" t="str">
        <f>IF(AND(D151="0",E151="0"),"SI",IF(COUNTIF(Ajustes!$A$3:$A$150,B151),"SI",IF(AND(D151=0,E151=0,NOT(ISBLANK(D151)),NOT(ISBLANK(E151))),"SI","")))</f>
        <v/>
      </c>
    </row>
    <row r="152" spans="1:9" x14ac:dyDescent="0.3">
      <c r="A152" s="56"/>
      <c r="B152" s="56"/>
      <c r="C152" s="9"/>
      <c r="D152" s="6"/>
      <c r="E152" s="6"/>
      <c r="F152" s="21">
        <f>SUMIF(Ajustes!$A$3:$A$150,Medicamentos!B152,Ajustes!$C$3:$C$150)+SUMIF(Ajustes!$A$3:$A$150,Medicamentos!B152,Ajustes!$E$3:$E$150)</f>
        <v>0</v>
      </c>
      <c r="G152" s="44">
        <f t="shared" si="6"/>
        <v>0</v>
      </c>
      <c r="H152" s="45" t="str">
        <f t="shared" si="7"/>
        <v/>
      </c>
      <c r="I152" s="22" t="str">
        <f>IF(AND(D152="0",E152="0"),"SI",IF(COUNTIF(Ajustes!$A$3:$A$150,B152),"SI",IF(AND(D152=0,E152=0,NOT(ISBLANK(D152)),NOT(ISBLANK(E152))),"SI","")))</f>
        <v/>
      </c>
    </row>
    <row r="153" spans="1:9" x14ac:dyDescent="0.3">
      <c r="A153" s="56"/>
      <c r="B153" s="56"/>
      <c r="C153" s="9"/>
      <c r="D153" s="6"/>
      <c r="E153" s="6"/>
      <c r="F153" s="21">
        <f>SUMIF(Ajustes!$A$3:$A$150,Medicamentos!B153,Ajustes!$C$3:$C$150)+SUMIF(Ajustes!$A$3:$A$150,Medicamentos!B153,Ajustes!$E$3:$E$150)</f>
        <v>0</v>
      </c>
      <c r="G153" s="44">
        <f t="shared" si="6"/>
        <v>0</v>
      </c>
      <c r="H153" s="45" t="str">
        <f t="shared" si="7"/>
        <v/>
      </c>
      <c r="I153" s="22" t="str">
        <f>IF(AND(D153="0",E153="0"),"SI",IF(COUNTIF(Ajustes!$A$3:$A$150,B153),"SI",IF(AND(D153=0,E153=0,NOT(ISBLANK(D153)),NOT(ISBLANK(E153))),"SI","")))</f>
        <v/>
      </c>
    </row>
    <row r="154" spans="1:9" x14ac:dyDescent="0.3">
      <c r="A154" s="56"/>
      <c r="B154" s="56"/>
      <c r="C154" s="9"/>
      <c r="D154" s="6"/>
      <c r="E154" s="6"/>
      <c r="F154" s="21">
        <f>SUMIF(Ajustes!$A$3:$A$150,Medicamentos!B154,Ajustes!$C$3:$C$150)+SUMIF(Ajustes!$A$3:$A$150,Medicamentos!B154,Ajustes!$E$3:$E$150)</f>
        <v>0</v>
      </c>
      <c r="G154" s="44">
        <f t="shared" si="6"/>
        <v>0</v>
      </c>
      <c r="H154" s="45" t="str">
        <f t="shared" si="7"/>
        <v/>
      </c>
      <c r="I154" s="22" t="str">
        <f>IF(AND(D154="0",E154="0"),"SI",IF(COUNTIF(Ajustes!$A$3:$A$150,B154),"SI",IF(AND(D154=0,E154=0,NOT(ISBLANK(D154)),NOT(ISBLANK(E154))),"SI","")))</f>
        <v/>
      </c>
    </row>
    <row r="155" spans="1:9" x14ac:dyDescent="0.3">
      <c r="A155" s="61"/>
      <c r="B155" s="61">
        <f>COUNTA(B10:B154)</f>
        <v>135</v>
      </c>
      <c r="C155" s="62">
        <f>COUNTA(C10:C154)</f>
        <v>128</v>
      </c>
      <c r="D155" s="61">
        <f>SUM(D10:D154)</f>
        <v>10521</v>
      </c>
      <c r="E155" s="61">
        <f>SUM(E10:E154)</f>
        <v>10440</v>
      </c>
      <c r="F155" s="63">
        <f>SUM(F10:F154)</f>
        <v>-217534.38999999996</v>
      </c>
      <c r="G155" s="64">
        <f>SUM(G10:G154)</f>
        <v>-81</v>
      </c>
      <c r="H155" s="58">
        <f>COUNTIF(H10:H154,0)</f>
        <v>128</v>
      </c>
      <c r="I155" s="68">
        <f>COUNTIF(I10:I154,"Si")/135</f>
        <v>0.91851851851851851</v>
      </c>
    </row>
  </sheetData>
  <sheetProtection algorithmName="SHA-512" hashValue="4Nz6clvq+qCecayTkdZAkMw7qUT2eNgFPmxv7GAGB/R4tO0Ruecsb7/cS6es5vt2jF9UOnjhPuJbfSXHKmJk5g==" saltValue="DldQCO+JJlUKdS221KXPMg==" spinCount="100000" sheet="1" selectLockedCells="1"/>
  <protectedRanges>
    <protectedRange sqref="C10:C11" name="Rango1"/>
  </protectedRanges>
  <mergeCells count="4">
    <mergeCell ref="C5:E7"/>
    <mergeCell ref="B2:C3"/>
    <mergeCell ref="E2:H3"/>
    <mergeCell ref="G5:I7"/>
  </mergeCells>
  <conditionalFormatting sqref="C5:F7">
    <cfRule type="dataBar" priority="16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{D9F2D6C2-9E4D-4AF0-B3B0-B8447DDB4010}</x14:id>
        </ext>
      </extLst>
    </cfRule>
  </conditionalFormatting>
  <conditionalFormatting sqref="E2:H3">
    <cfRule type="expression" dxfId="19" priority="2">
      <formula>AND($E$2&lt;&gt;"PLANILLA FINALIZADA",$E$2&lt;&gt;"")</formula>
    </cfRule>
    <cfRule type="expression" dxfId="18" priority="3">
      <formula>$E$2="PLANILLA FINALIZADA"</formula>
    </cfRule>
  </conditionalFormatting>
  <conditionalFormatting sqref="F10:F155">
    <cfRule type="cellIs" dxfId="17" priority="5" operator="lessThan">
      <formula>0</formula>
    </cfRule>
  </conditionalFormatting>
  <conditionalFormatting sqref="G5:I7">
    <cfRule type="expression" dxfId="16" priority="1">
      <formula>(G5&lt;&gt;"")</formula>
    </cfRule>
  </conditionalFormatting>
  <dataValidations xWindow="493" yWindow="719" count="3">
    <dataValidation type="custom" showInputMessage="1" showErrorMessage="1" errorTitle="ERROR" error="Ingresar Cluster A, B o C" sqref="A145:A154" xr:uid="{D7FC344D-3465-4C79-BD8F-F11CA5B21581}">
      <formula1>AND(ISTEXT(A145),LEN(A145)&lt;=1,OR(A145="A",A145="B",A145="C"))</formula1>
    </dataValidation>
    <dataValidation type="custom" showInputMessage="1" showErrorMessage="1" errorTitle="ERROR" error="Debe Completar la Categoria" sqref="B145:B154" xr:uid="{1DEC3AC3-5996-4966-A23E-59BD04781255}">
      <formula1>AND(A145&lt;&gt;"",ISTEXT(B145))</formula1>
    </dataValidation>
    <dataValidation type="date" allowBlank="1" showInputMessage="1" showErrorMessage="1" sqref="C10:C154" xr:uid="{BF58A0FF-4FF6-4013-9881-D74ED1938C24}">
      <formula1>45880</formula1>
      <formula2>46976</formula2>
    </dataValidation>
  </dataValidations>
  <pageMargins left="0.7" right="0.7" top="0.75" bottom="0.75" header="0.3" footer="0.3"/>
  <pageSetup paperSize="9" orientation="portrait" r:id="rId1"/>
  <ignoredErrors>
    <ignoredError sqref="H10 H12:H38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9F2D6C2-9E4D-4AF0-B3B0-B8447DDB401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C5:F7</xm:sqref>
        </x14:conditionalFormatting>
        <x14:conditionalFormatting xmlns:xm="http://schemas.microsoft.com/office/excel/2006/main">
          <x14:cfRule type="iconSet" priority="13" id="{8DB5CAF7-B833-4A39-8C90-25051AE5B88E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2"/>
              <x14:cfIcon iconSet="3Symbols" iconId="2"/>
              <x14:cfIcon iconSet="3Symbols" iconId="2"/>
            </x14:iconSet>
          </x14:cfRule>
          <xm:sqref>H10:H38</xm:sqref>
        </x14:conditionalFormatting>
        <x14:conditionalFormatting xmlns:xm="http://schemas.microsoft.com/office/excel/2006/main">
          <x14:cfRule type="iconSet" priority="10" id="{31CEB9A0-44AA-4F23-9CC6-5B32438C100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2"/>
              <x14:cfIcon iconSet="3Symbols" iconId="2"/>
              <x14:cfIcon iconSet="3Symbols" iconId="2"/>
            </x14:iconSet>
          </x14:cfRule>
          <xm:sqref>H39:H92</xm:sqref>
        </x14:conditionalFormatting>
        <x14:conditionalFormatting xmlns:xm="http://schemas.microsoft.com/office/excel/2006/main">
          <x14:cfRule type="iconSet" priority="9" id="{DFFD2786-4AAC-44D8-83AC-F352527C3D0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2"/>
              <x14:cfIcon iconSet="3Symbols" iconId="2"/>
              <x14:cfIcon iconSet="3Symbols" iconId="2"/>
            </x14:iconSet>
          </x14:cfRule>
          <xm:sqref>H93:H154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39E1-4653-43A8-BDCA-0C370E3FC343}">
  <dimension ref="A2:I84"/>
  <sheetViews>
    <sheetView showGridLines="0" topLeftCell="A2" zoomScale="115" zoomScaleNormal="115" workbookViewId="0">
      <selection activeCell="C10" sqref="C10:C83"/>
    </sheetView>
  </sheetViews>
  <sheetFormatPr baseColWidth="10" defaultColWidth="10.81640625" defaultRowHeight="15" x14ac:dyDescent="0.35"/>
  <cols>
    <col min="1" max="1" width="10.54296875" style="46" customWidth="1"/>
    <col min="2" max="2" width="43.54296875" style="46" bestFit="1" customWidth="1"/>
    <col min="3" max="3" width="19.81640625" style="47" bestFit="1" customWidth="1"/>
    <col min="4" max="4" width="7.54296875" style="46" bestFit="1" customWidth="1"/>
    <col min="5" max="5" width="16.453125" style="46" bestFit="1" customWidth="1"/>
    <col min="6" max="6" width="15" style="46" bestFit="1" customWidth="1"/>
    <col min="7" max="7" width="13.81640625" style="46" bestFit="1" customWidth="1"/>
    <col min="8" max="8" width="6.54296875" style="46" bestFit="1" customWidth="1"/>
    <col min="9" max="9" width="10.81640625" style="46" bestFit="1" customWidth="1"/>
    <col min="10" max="10" width="4.54296875" style="46" customWidth="1"/>
    <col min="11" max="16384" width="10.81640625" style="46"/>
  </cols>
  <sheetData>
    <row r="2" spans="1:9" ht="15" customHeight="1" x14ac:dyDescent="0.35">
      <c r="B2" s="124" t="s">
        <v>173</v>
      </c>
      <c r="C2" s="125"/>
      <c r="E2" s="128" t="str">
        <f ca="1">IF('CONSOLIDADO - ALCANCE '!Z5&gt;='CONSOLIDADO - ALCANCE '!M6,"PLANILLA FINALIZADA",IF('CONSOLIDADO - ALCANCE '!M3&gt;0.09,CONCATENATE("Planilla Atrasada un ",TEXT('CONSOLIDADO - ALCANCE '!M3,"0%")),""))</f>
        <v/>
      </c>
      <c r="F2" s="128"/>
      <c r="G2" s="128"/>
      <c r="H2" s="128"/>
    </row>
    <row r="3" spans="1:9" ht="28.5" customHeight="1" x14ac:dyDescent="0.35">
      <c r="B3" s="126"/>
      <c r="C3" s="127"/>
      <c r="E3" s="128"/>
      <c r="F3" s="128"/>
      <c r="G3" s="128"/>
      <c r="H3" s="128"/>
    </row>
    <row r="4" spans="1:9" ht="15.5" thickBot="1" x14ac:dyDescent="0.4"/>
    <row r="5" spans="1:9" x14ac:dyDescent="0.35">
      <c r="C5" s="115">
        <f>COUNTIF(I10:I83,"Si")/B84</f>
        <v>1</v>
      </c>
      <c r="D5" s="116"/>
      <c r="E5" s="117"/>
      <c r="F5" s="20"/>
      <c r="G5" s="129" t="str">
        <f>IF('CONSOLIDADO - ALCANCE '!D15&lt;&gt;"","Nuevo Aviso en la Primer Hoja","")</f>
        <v/>
      </c>
      <c r="H5" s="129"/>
      <c r="I5" s="129"/>
    </row>
    <row r="6" spans="1:9" x14ac:dyDescent="0.35">
      <c r="C6" s="118"/>
      <c r="D6" s="119"/>
      <c r="E6" s="120"/>
      <c r="F6" s="20"/>
      <c r="G6" s="129"/>
      <c r="H6" s="129"/>
      <c r="I6" s="129"/>
    </row>
    <row r="7" spans="1:9" ht="15.5" thickBot="1" x14ac:dyDescent="0.4">
      <c r="C7" s="121"/>
      <c r="D7" s="122"/>
      <c r="E7" s="123"/>
      <c r="F7" s="20"/>
      <c r="G7" s="129"/>
      <c r="H7" s="129"/>
      <c r="I7" s="129"/>
    </row>
    <row r="8" spans="1:9" x14ac:dyDescent="0.35">
      <c r="C8" s="23"/>
    </row>
    <row r="9" spans="1:9" x14ac:dyDescent="0.35">
      <c r="A9" s="58" t="s">
        <v>26</v>
      </c>
      <c r="B9" s="58" t="s">
        <v>27</v>
      </c>
      <c r="C9" s="59" t="s">
        <v>28</v>
      </c>
      <c r="D9" s="58" t="s">
        <v>29</v>
      </c>
      <c r="E9" s="58" t="s">
        <v>30</v>
      </c>
      <c r="F9" s="58" t="s">
        <v>31</v>
      </c>
      <c r="G9" s="60" t="s">
        <v>32</v>
      </c>
      <c r="H9" s="60" t="s">
        <v>33</v>
      </c>
      <c r="I9" s="60" t="s">
        <v>34</v>
      </c>
    </row>
    <row r="10" spans="1:9" x14ac:dyDescent="0.3">
      <c r="A10" s="48" t="s">
        <v>35</v>
      </c>
      <c r="B10" s="48" t="s">
        <v>174</v>
      </c>
      <c r="C10" s="4">
        <v>45915</v>
      </c>
      <c r="D10" s="1">
        <v>28</v>
      </c>
      <c r="E10" s="1">
        <v>28</v>
      </c>
      <c r="F10" s="24">
        <f>SUMIF(Ajustes!$G$3:$G$150,Perfumería!B10,Ajustes!$I$3:$I$150)+SUMIF(Ajustes!$G$3:$G$150,Perfumería!B10,Ajustes!$K$3:$K$150)</f>
        <v>0</v>
      </c>
      <c r="G10" s="44">
        <f>E10-D10</f>
        <v>0</v>
      </c>
      <c r="H10" s="45">
        <f>IF(C10&lt;&gt;"",0,"")</f>
        <v>0</v>
      </c>
      <c r="I10" s="22" t="str">
        <f>IF(AND(D10="0",E10="0"),"SI",IF(COUNTIF(Ajustes!$G$3:$G$150,B10),"SI",IF(AND(D10=0,E10=0,NOT(ISBLANK(D10)),NOT(ISBLANK(E10))),"SI","")))</f>
        <v>SI</v>
      </c>
    </row>
    <row r="11" spans="1:9" x14ac:dyDescent="0.3">
      <c r="A11" s="48" t="s">
        <v>35</v>
      </c>
      <c r="B11" s="48" t="s">
        <v>175</v>
      </c>
      <c r="C11" s="4">
        <v>45912</v>
      </c>
      <c r="D11" s="1">
        <v>734</v>
      </c>
      <c r="E11" s="1">
        <v>734</v>
      </c>
      <c r="F11" s="24">
        <f>SUMIF(Ajustes!$G$3:$G$150,Perfumería!B11,Ajustes!$I$3:$I$150)+SUMIF(Ajustes!$G$3:$G$150,Perfumería!B11,Ajustes!$K$3:$K$150)</f>
        <v>0</v>
      </c>
      <c r="G11" s="44">
        <f t="shared" ref="G11:G33" si="0">E11-D11</f>
        <v>0</v>
      </c>
      <c r="H11" s="45">
        <f t="shared" ref="H11:H33" si="1">IF(C11&lt;&gt;"",0,"")</f>
        <v>0</v>
      </c>
      <c r="I11" s="22" t="str">
        <f>IF(AND(D11="0",E11="0"),"SI",IF(COUNTIF(Ajustes!$G$3:$G$150,B11),"SI",IF(AND(D11=0,E11=0,NOT(ISBLANK(D11)),NOT(ISBLANK(E11))),"SI","")))</f>
        <v>SI</v>
      </c>
    </row>
    <row r="12" spans="1:9" x14ac:dyDescent="0.3">
      <c r="A12" s="48" t="s">
        <v>35</v>
      </c>
      <c r="B12" s="48" t="s">
        <v>176</v>
      </c>
      <c r="C12" s="4">
        <v>45923</v>
      </c>
      <c r="D12" s="1">
        <v>91</v>
      </c>
      <c r="E12" s="1">
        <v>91</v>
      </c>
      <c r="F12" s="24">
        <f>SUMIF(Ajustes!$G$3:$G$150,Perfumería!B12,Ajustes!$I$3:$I$150)+SUMIF(Ajustes!$G$3:$G$150,Perfumería!B12,Ajustes!$K$3:$K$150)</f>
        <v>0</v>
      </c>
      <c r="G12" s="44">
        <f t="shared" si="0"/>
        <v>0</v>
      </c>
      <c r="H12" s="45">
        <f t="shared" si="1"/>
        <v>0</v>
      </c>
      <c r="I12" s="22" t="str">
        <f>IF(AND(D12="0",E12="0"),"SI",IF(COUNTIF(Ajustes!$G$3:$G$150,B12),"SI",IF(AND(D12=0,E12=0,NOT(ISBLANK(D12)),NOT(ISBLANK(E12))),"SI","")))</f>
        <v>SI</v>
      </c>
    </row>
    <row r="13" spans="1:9" x14ac:dyDescent="0.3">
      <c r="A13" s="48" t="s">
        <v>35</v>
      </c>
      <c r="B13" s="48" t="s">
        <v>177</v>
      </c>
      <c r="C13" s="7">
        <v>45895</v>
      </c>
      <c r="D13" s="2">
        <v>346</v>
      </c>
      <c r="E13" s="2">
        <v>339</v>
      </c>
      <c r="F13" s="24">
        <f>SUMIF(Ajustes!$G$3:$G$150,Perfumería!B13,Ajustes!$I$3:$I$150)+SUMIF(Ajustes!$G$3:$G$150,Perfumería!B13,Ajustes!$K$3:$K$150)</f>
        <v>-21170.070000000007</v>
      </c>
      <c r="G13" s="44">
        <f t="shared" si="0"/>
        <v>-7</v>
      </c>
      <c r="H13" s="45">
        <f t="shared" si="1"/>
        <v>0</v>
      </c>
      <c r="I13" s="22" t="str">
        <f>IF(AND(D13="0",E13="0"),"SI",IF(COUNTIF(Ajustes!$G$3:$G$150,B13),"SI",IF(AND(D13=0,E13=0,NOT(ISBLANK(D13)),NOT(ISBLANK(E13))),"SI","")))</f>
        <v>SI</v>
      </c>
    </row>
    <row r="14" spans="1:9" x14ac:dyDescent="0.3">
      <c r="A14" s="48" t="s">
        <v>35</v>
      </c>
      <c r="B14" s="48" t="s">
        <v>178</v>
      </c>
      <c r="C14" s="7">
        <v>45923</v>
      </c>
      <c r="D14" s="2">
        <v>316</v>
      </c>
      <c r="E14" s="2">
        <v>316</v>
      </c>
      <c r="F14" s="24">
        <f>SUMIF(Ajustes!$G$3:$G$150,Perfumería!B14,Ajustes!$I$3:$I$150)+SUMIF(Ajustes!$G$3:$G$150,Perfumería!B14,Ajustes!$K$3:$K$150)</f>
        <v>0</v>
      </c>
      <c r="G14" s="44">
        <f t="shared" si="0"/>
        <v>0</v>
      </c>
      <c r="H14" s="45">
        <f t="shared" si="1"/>
        <v>0</v>
      </c>
      <c r="I14" s="22" t="str">
        <f>IF(AND(D14="0",E14="0"),"SI",IF(COUNTIF(Ajustes!$G$3:$G$150,B14),"SI",IF(AND(D14=0,E14=0,NOT(ISBLANK(D14)),NOT(ISBLANK(E14))),"SI","")))</f>
        <v>SI</v>
      </c>
    </row>
    <row r="15" spans="1:9" x14ac:dyDescent="0.3">
      <c r="A15" s="48" t="s">
        <v>35</v>
      </c>
      <c r="B15" s="48" t="s">
        <v>179</v>
      </c>
      <c r="C15" s="4">
        <v>45913</v>
      </c>
      <c r="D15" s="1">
        <v>550</v>
      </c>
      <c r="E15" s="1">
        <v>550</v>
      </c>
      <c r="F15" s="24">
        <f>SUMIF(Ajustes!$G$3:$G$150,Perfumería!B15,Ajustes!$I$3:$I$150)+SUMIF(Ajustes!$G$3:$G$150,Perfumería!B15,Ajustes!$K$3:$K$150)</f>
        <v>0</v>
      </c>
      <c r="G15" s="44">
        <f t="shared" si="0"/>
        <v>0</v>
      </c>
      <c r="H15" s="45">
        <f t="shared" si="1"/>
        <v>0</v>
      </c>
      <c r="I15" s="22" t="str">
        <f>IF(AND(D15="0",E15="0"),"SI",IF(COUNTIF(Ajustes!$G$3:$G$150,B15),"SI",IF(AND(D15=0,E15=0,NOT(ISBLANK(D15)),NOT(ISBLANK(E15))),"SI","")))</f>
        <v>SI</v>
      </c>
    </row>
    <row r="16" spans="1:9" x14ac:dyDescent="0.3">
      <c r="A16" s="48" t="s">
        <v>35</v>
      </c>
      <c r="B16" s="48" t="s">
        <v>180</v>
      </c>
      <c r="C16" s="4">
        <v>45896</v>
      </c>
      <c r="D16" s="1">
        <v>96</v>
      </c>
      <c r="E16" s="1">
        <v>75</v>
      </c>
      <c r="F16" s="24">
        <f>SUMIF(Ajustes!$G$3:$G$150,Perfumería!B16,Ajustes!$I$3:$I$150)+SUMIF(Ajustes!$G$3:$G$150,Perfumería!B16,Ajustes!$K$3:$K$150)</f>
        <v>-396299.59</v>
      </c>
      <c r="G16" s="44">
        <f t="shared" si="0"/>
        <v>-21</v>
      </c>
      <c r="H16" s="45">
        <f t="shared" si="1"/>
        <v>0</v>
      </c>
      <c r="I16" s="22" t="str">
        <f>IF(AND(D16="0",E16="0"),"SI",IF(COUNTIF(Ajustes!$G$3:$G$150,B16),"SI",IF(AND(D16=0,E16=0,NOT(ISBLANK(D16)),NOT(ISBLANK(E16))),"SI","")))</f>
        <v>SI</v>
      </c>
    </row>
    <row r="17" spans="1:9" x14ac:dyDescent="0.3">
      <c r="A17" s="48" t="s">
        <v>35</v>
      </c>
      <c r="B17" s="48" t="s">
        <v>181</v>
      </c>
      <c r="C17" s="4">
        <v>45922</v>
      </c>
      <c r="D17" s="1">
        <v>236</v>
      </c>
      <c r="E17" s="1">
        <v>236</v>
      </c>
      <c r="F17" s="24">
        <f>SUMIF(Ajustes!$G$3:$G$150,Perfumería!B17,Ajustes!$I$3:$I$150)+SUMIF(Ajustes!$G$3:$G$150,Perfumería!B17,Ajustes!$K$3:$K$150)</f>
        <v>0</v>
      </c>
      <c r="G17" s="44">
        <f t="shared" si="0"/>
        <v>0</v>
      </c>
      <c r="H17" s="45">
        <f t="shared" si="1"/>
        <v>0</v>
      </c>
      <c r="I17" s="22" t="str">
        <f>IF(AND(D17="0",E17="0"),"SI",IF(COUNTIF(Ajustes!$G$3:$G$150,B17),"SI",IF(AND(D17=0,E17=0,NOT(ISBLANK(D17)),NOT(ISBLANK(E17))),"SI","")))</f>
        <v>SI</v>
      </c>
    </row>
    <row r="18" spans="1:9" x14ac:dyDescent="0.3">
      <c r="A18" s="48" t="s">
        <v>35</v>
      </c>
      <c r="B18" s="48" t="s">
        <v>182</v>
      </c>
      <c r="C18" s="4">
        <v>45922</v>
      </c>
      <c r="D18" s="1">
        <v>94</v>
      </c>
      <c r="E18" s="1">
        <v>94</v>
      </c>
      <c r="F18" s="24">
        <f>SUMIF(Ajustes!$G$3:$G$150,Perfumería!B18,Ajustes!$I$3:$I$150)+SUMIF(Ajustes!$G$3:$G$150,Perfumería!B18,Ajustes!$K$3:$K$150)</f>
        <v>0</v>
      </c>
      <c r="G18" s="44">
        <f t="shared" si="0"/>
        <v>0</v>
      </c>
      <c r="H18" s="45">
        <f t="shared" si="1"/>
        <v>0</v>
      </c>
      <c r="I18" s="22" t="str">
        <f>IF(AND(D18="0",E18="0"),"SI",IF(COUNTIF(Ajustes!$G$3:$G$150,B18),"SI",IF(AND(D18=0,E18=0,NOT(ISBLANK(D18)),NOT(ISBLANK(E18))),"SI","")))</f>
        <v>SI</v>
      </c>
    </row>
    <row r="19" spans="1:9" x14ac:dyDescent="0.3">
      <c r="A19" s="48" t="s">
        <v>35</v>
      </c>
      <c r="B19" s="48" t="s">
        <v>45</v>
      </c>
      <c r="C19" s="7">
        <v>45905</v>
      </c>
      <c r="D19" s="2">
        <v>190</v>
      </c>
      <c r="E19" s="2">
        <v>178</v>
      </c>
      <c r="F19" s="24">
        <f>SUMIF(Ajustes!$G$3:$G$150,Perfumería!B19,Ajustes!$I$3:$I$150)+SUMIF(Ajustes!$G$3:$G$150,Perfumería!B19,Ajustes!$K$3:$K$150)</f>
        <v>-149982.12</v>
      </c>
      <c r="G19" s="44">
        <f t="shared" si="0"/>
        <v>-12</v>
      </c>
      <c r="H19" s="45">
        <f t="shared" si="1"/>
        <v>0</v>
      </c>
      <c r="I19" s="22" t="str">
        <f>IF(AND(D19="0",E19="0"),"SI",IF(COUNTIF(Ajustes!$G$3:$G$150,B19),"SI",IF(AND(D19=0,E19=0,NOT(ISBLANK(D19)),NOT(ISBLANK(E19))),"SI","")))</f>
        <v>SI</v>
      </c>
    </row>
    <row r="20" spans="1:9" x14ac:dyDescent="0.3">
      <c r="A20" s="48" t="s">
        <v>35</v>
      </c>
      <c r="B20" s="48" t="s">
        <v>183</v>
      </c>
      <c r="C20" s="4">
        <v>45922</v>
      </c>
      <c r="D20" s="1">
        <v>236</v>
      </c>
      <c r="E20" s="1">
        <v>236</v>
      </c>
      <c r="F20" s="24">
        <f>SUMIF(Ajustes!$G$3:$G$150,Perfumería!B20,Ajustes!$I$3:$I$150)+SUMIF(Ajustes!$G$3:$G$150,Perfumería!B20,Ajustes!$K$3:$K$150)</f>
        <v>0</v>
      </c>
      <c r="G20" s="44">
        <f t="shared" si="0"/>
        <v>0</v>
      </c>
      <c r="H20" s="45">
        <f t="shared" si="1"/>
        <v>0</v>
      </c>
      <c r="I20" s="22" t="str">
        <f>IF(AND(D20="0",E20="0"),"SI",IF(COUNTIF(Ajustes!$G$3:$G$150,B20),"SI",IF(AND(D20=0,E20=0,NOT(ISBLANK(D20)),NOT(ISBLANK(E20))),"SI","")))</f>
        <v>SI</v>
      </c>
    </row>
    <row r="21" spans="1:9" x14ac:dyDescent="0.3">
      <c r="A21" s="48" t="s">
        <v>35</v>
      </c>
      <c r="B21" s="48" t="s">
        <v>184</v>
      </c>
      <c r="C21" s="4">
        <v>45922</v>
      </c>
      <c r="D21" s="1">
        <v>200</v>
      </c>
      <c r="E21" s="1">
        <v>200</v>
      </c>
      <c r="F21" s="24">
        <f>SUMIF(Ajustes!$G$3:$G$150,Perfumería!B21,Ajustes!$I$3:$I$150)+SUMIF(Ajustes!$G$3:$G$150,Perfumería!B21,Ajustes!$K$3:$K$150)</f>
        <v>0</v>
      </c>
      <c r="G21" s="44">
        <f t="shared" si="0"/>
        <v>0</v>
      </c>
      <c r="H21" s="45">
        <f t="shared" si="1"/>
        <v>0</v>
      </c>
      <c r="I21" s="22" t="str">
        <f>IF(AND(D21="0",E21="0"),"SI",IF(COUNTIF(Ajustes!$G$3:$G$150,B21),"SI",IF(AND(D21=0,E21=0,NOT(ISBLANK(D21)),NOT(ISBLANK(E21))),"SI","")))</f>
        <v>SI</v>
      </c>
    </row>
    <row r="22" spans="1:9" x14ac:dyDescent="0.3">
      <c r="A22" s="48" t="s">
        <v>35</v>
      </c>
      <c r="B22" s="48" t="s">
        <v>94</v>
      </c>
      <c r="C22" s="4">
        <v>45922</v>
      </c>
      <c r="D22" s="1">
        <v>432</v>
      </c>
      <c r="E22" s="1">
        <v>432</v>
      </c>
      <c r="F22" s="24">
        <f>SUMIF(Ajustes!$G$3:$G$150,Perfumería!B22,Ajustes!$I$3:$I$150)+SUMIF(Ajustes!$G$3:$G$150,Perfumería!B22,Ajustes!$K$3:$K$150)</f>
        <v>0</v>
      </c>
      <c r="G22" s="44">
        <f t="shared" si="0"/>
        <v>0</v>
      </c>
      <c r="H22" s="45">
        <f t="shared" si="1"/>
        <v>0</v>
      </c>
      <c r="I22" s="22" t="str">
        <f>IF(AND(D22="0",E22="0"),"SI",IF(COUNTIF(Ajustes!$G$3:$G$150,B22),"SI",IF(AND(D22=0,E22=0,NOT(ISBLANK(D22)),NOT(ISBLANK(E22))),"SI","")))</f>
        <v>SI</v>
      </c>
    </row>
    <row r="23" spans="1:9" x14ac:dyDescent="0.3">
      <c r="A23" s="48" t="s">
        <v>35</v>
      </c>
      <c r="B23" s="48" t="s">
        <v>185</v>
      </c>
      <c r="C23" s="4">
        <v>45922</v>
      </c>
      <c r="D23" s="1">
        <v>0</v>
      </c>
      <c r="E23" s="1">
        <v>0</v>
      </c>
      <c r="F23" s="24">
        <f>SUMIF(Ajustes!$G$3:$G$150,Perfumería!B23,Ajustes!$I$3:$I$150)+SUMIF(Ajustes!$G$3:$G$150,Perfumería!B23,Ajustes!$K$3:$K$150)</f>
        <v>0</v>
      </c>
      <c r="G23" s="44">
        <f t="shared" si="0"/>
        <v>0</v>
      </c>
      <c r="H23" s="45">
        <f t="shared" si="1"/>
        <v>0</v>
      </c>
      <c r="I23" s="22" t="str">
        <f>IF(AND(D23="0",E23="0"),"SI",IF(COUNTIF(Ajustes!$G$3:$G$150,B23),"SI",IF(AND(D23=0,E23=0,NOT(ISBLANK(D23)),NOT(ISBLANK(E23))),"SI","")))</f>
        <v>SI</v>
      </c>
    </row>
    <row r="24" spans="1:9" x14ac:dyDescent="0.3">
      <c r="A24" s="48" t="s">
        <v>35</v>
      </c>
      <c r="B24" s="48" t="s">
        <v>186</v>
      </c>
      <c r="C24" s="4">
        <v>45922</v>
      </c>
      <c r="D24" s="1">
        <v>232</v>
      </c>
      <c r="E24" s="1">
        <v>232</v>
      </c>
      <c r="F24" s="24">
        <f>SUMIF(Ajustes!$G$3:$G$150,Perfumería!B24,Ajustes!$I$3:$I$150)+SUMIF(Ajustes!$G$3:$G$150,Perfumería!B24,Ajustes!$K$3:$K$150)</f>
        <v>0</v>
      </c>
      <c r="G24" s="44">
        <f t="shared" si="0"/>
        <v>0</v>
      </c>
      <c r="H24" s="45">
        <f t="shared" si="1"/>
        <v>0</v>
      </c>
      <c r="I24" s="22" t="str">
        <f>IF(AND(D24="0",E24="0"),"SI",IF(COUNTIF(Ajustes!$G$3:$G$150,B24),"SI",IF(AND(D24=0,E24=0,NOT(ISBLANK(D24)),NOT(ISBLANK(E24))),"SI","")))</f>
        <v>SI</v>
      </c>
    </row>
    <row r="25" spans="1:9" x14ac:dyDescent="0.3">
      <c r="A25" s="48" t="s">
        <v>35</v>
      </c>
      <c r="B25" s="48" t="s">
        <v>187</v>
      </c>
      <c r="C25" s="4">
        <v>45913</v>
      </c>
      <c r="D25" s="1">
        <v>764</v>
      </c>
      <c r="E25" s="1">
        <v>760</v>
      </c>
      <c r="F25" s="24">
        <f>SUMIF(Ajustes!$G$3:$G$150,Perfumería!B25,Ajustes!$I$3:$I$150)+SUMIF(Ajustes!$G$3:$G$150,Perfumería!B25,Ajustes!$K$3:$K$150)</f>
        <v>-23196</v>
      </c>
      <c r="G25" s="44">
        <f t="shared" si="0"/>
        <v>-4</v>
      </c>
      <c r="H25" s="45">
        <f t="shared" si="1"/>
        <v>0</v>
      </c>
      <c r="I25" s="22" t="str">
        <f>IF(AND(D25="0",E25="0"),"SI",IF(COUNTIF(Ajustes!$G$3:$G$150,B25),"SI",IF(AND(D25=0,E25=0,NOT(ISBLANK(D25)),NOT(ISBLANK(E25))),"SI","")))</f>
        <v>SI</v>
      </c>
    </row>
    <row r="26" spans="1:9" x14ac:dyDescent="0.3">
      <c r="A26" s="48" t="s">
        <v>35</v>
      </c>
      <c r="B26" s="48" t="s">
        <v>188</v>
      </c>
      <c r="C26" s="4">
        <v>45913</v>
      </c>
      <c r="D26" s="1">
        <v>376</v>
      </c>
      <c r="E26" s="1">
        <v>376</v>
      </c>
      <c r="F26" s="24">
        <f>SUMIF(Ajustes!$G$3:$G$150,Perfumería!B26,Ajustes!$I$3:$I$150)+SUMIF(Ajustes!$G$3:$G$150,Perfumería!B26,Ajustes!$K$3:$K$150)</f>
        <v>0</v>
      </c>
      <c r="G26" s="44">
        <f t="shared" si="0"/>
        <v>0</v>
      </c>
      <c r="H26" s="45">
        <f t="shared" si="1"/>
        <v>0</v>
      </c>
      <c r="I26" s="22" t="str">
        <f>IF(AND(D26="0",E26="0"),"SI",IF(COUNTIF(Ajustes!$G$3:$G$150,B26),"SI",IF(AND(D26=0,E26=0,NOT(ISBLANK(D26)),NOT(ISBLANK(E26))),"SI","")))</f>
        <v>SI</v>
      </c>
    </row>
    <row r="27" spans="1:9" x14ac:dyDescent="0.3">
      <c r="A27" s="48" t="s">
        <v>35</v>
      </c>
      <c r="B27" s="48" t="s">
        <v>189</v>
      </c>
      <c r="C27" s="4">
        <v>45922</v>
      </c>
      <c r="D27" s="1">
        <v>117</v>
      </c>
      <c r="E27" s="1">
        <v>117</v>
      </c>
      <c r="F27" s="24">
        <f>SUMIF(Ajustes!$G$3:$G$150,Perfumería!B27,Ajustes!$I$3:$I$150)+SUMIF(Ajustes!$G$3:$G$150,Perfumería!B27,Ajustes!$K$3:$K$150)</f>
        <v>0</v>
      </c>
      <c r="G27" s="44">
        <f t="shared" si="0"/>
        <v>0</v>
      </c>
      <c r="H27" s="45">
        <f t="shared" si="1"/>
        <v>0</v>
      </c>
      <c r="I27" s="22" t="str">
        <f>IF(AND(D27="0",E27="0"),"SI",IF(COUNTIF(Ajustes!$G$3:$G$150,B27),"SI",IF(AND(D27=0,E27=0,NOT(ISBLANK(D27)),NOT(ISBLANK(E27))),"SI","")))</f>
        <v>SI</v>
      </c>
    </row>
    <row r="28" spans="1:9" x14ac:dyDescent="0.3">
      <c r="A28" s="48" t="s">
        <v>35</v>
      </c>
      <c r="B28" s="48" t="s">
        <v>58</v>
      </c>
      <c r="C28" s="7">
        <v>45894</v>
      </c>
      <c r="D28" s="2">
        <v>205</v>
      </c>
      <c r="E28" s="2">
        <v>202</v>
      </c>
      <c r="F28" s="24">
        <f>SUMIF(Ajustes!$G$3:$G$150,Perfumería!B28,Ajustes!$I$3:$I$150)+SUMIF(Ajustes!$G$3:$G$150,Perfumería!B28,Ajustes!$K$3:$K$150)</f>
        <v>-39954.640000000007</v>
      </c>
      <c r="G28" s="44">
        <f t="shared" si="0"/>
        <v>-3</v>
      </c>
      <c r="H28" s="45">
        <f t="shared" si="1"/>
        <v>0</v>
      </c>
      <c r="I28" s="22" t="str">
        <f>IF(AND(D28="0",E28="0"),"SI",IF(COUNTIF(Ajustes!$G$3:$G$150,B28),"SI",IF(AND(D28=0,E28=0,NOT(ISBLANK(D28)),NOT(ISBLANK(E28))),"SI","")))</f>
        <v>SI</v>
      </c>
    </row>
    <row r="29" spans="1:9" x14ac:dyDescent="0.3">
      <c r="A29" s="48" t="s">
        <v>35</v>
      </c>
      <c r="B29" s="48" t="s">
        <v>109</v>
      </c>
      <c r="C29" s="4">
        <v>45922</v>
      </c>
      <c r="D29" s="1">
        <v>101</v>
      </c>
      <c r="E29" s="1">
        <v>101</v>
      </c>
      <c r="F29" s="24">
        <f>SUMIF(Ajustes!$G$3:$G$150,Perfumería!B29,Ajustes!$I$3:$I$150)+SUMIF(Ajustes!$G$3:$G$150,Perfumería!B29,Ajustes!$K$3:$K$150)</f>
        <v>0</v>
      </c>
      <c r="G29" s="44">
        <f t="shared" si="0"/>
        <v>0</v>
      </c>
      <c r="H29" s="45">
        <f t="shared" si="1"/>
        <v>0</v>
      </c>
      <c r="I29" s="22" t="str">
        <f>IF(AND(D29="0",E29="0"),"SI",IF(COUNTIF(Ajustes!$G$3:$G$150,B29),"SI",IF(AND(D29=0,E29=0,NOT(ISBLANK(D29)),NOT(ISBLANK(E29))),"SI","")))</f>
        <v>SI</v>
      </c>
    </row>
    <row r="30" spans="1:9" x14ac:dyDescent="0.3">
      <c r="A30" s="48" t="s">
        <v>35</v>
      </c>
      <c r="B30" s="48" t="s">
        <v>190</v>
      </c>
      <c r="C30" s="4">
        <v>45922</v>
      </c>
      <c r="D30" s="1">
        <v>475</v>
      </c>
      <c r="E30" s="1">
        <v>475</v>
      </c>
      <c r="F30" s="24">
        <f>SUMIF(Ajustes!$G$3:$G$150,Perfumería!B30,Ajustes!$I$3:$I$150)+SUMIF(Ajustes!$G$3:$G$150,Perfumería!B30,Ajustes!$K$3:$K$150)</f>
        <v>0</v>
      </c>
      <c r="G30" s="44">
        <f t="shared" si="0"/>
        <v>0</v>
      </c>
      <c r="H30" s="45">
        <f t="shared" si="1"/>
        <v>0</v>
      </c>
      <c r="I30" s="22" t="str">
        <f>IF(AND(D30="0",E30="0"),"SI",IF(COUNTIF(Ajustes!$G$3:$G$150,B30),"SI",IF(AND(D30=0,E30=0,NOT(ISBLANK(D30)),NOT(ISBLANK(E30))),"SI","")))</f>
        <v>SI</v>
      </c>
    </row>
    <row r="31" spans="1:9" x14ac:dyDescent="0.3">
      <c r="A31" s="48" t="s">
        <v>35</v>
      </c>
      <c r="B31" s="48" t="s">
        <v>191</v>
      </c>
      <c r="C31" s="7">
        <v>45922</v>
      </c>
      <c r="D31" s="2">
        <v>193</v>
      </c>
      <c r="E31" s="2">
        <v>193</v>
      </c>
      <c r="F31" s="24">
        <f>SUMIF(Ajustes!$G$3:$G$150,Perfumería!B31,Ajustes!$I$3:$I$150)+SUMIF(Ajustes!$G$3:$G$150,Perfumería!B31,Ajustes!$K$3:$K$150)</f>
        <v>0</v>
      </c>
      <c r="G31" s="44">
        <f t="shared" si="0"/>
        <v>0</v>
      </c>
      <c r="H31" s="45">
        <f t="shared" si="1"/>
        <v>0</v>
      </c>
      <c r="I31" s="22" t="str">
        <f>IF(AND(D31="0",E31="0"),"SI",IF(COUNTIF(Ajustes!$G$3:$G$150,B31),"SI",IF(AND(D31=0,E31=0,NOT(ISBLANK(D31)),NOT(ISBLANK(E31))),"SI","")))</f>
        <v>SI</v>
      </c>
    </row>
    <row r="32" spans="1:9" x14ac:dyDescent="0.3">
      <c r="A32" s="48" t="s">
        <v>35</v>
      </c>
      <c r="B32" s="48" t="s">
        <v>192</v>
      </c>
      <c r="C32" s="7">
        <v>45882</v>
      </c>
      <c r="D32" s="2">
        <v>1057</v>
      </c>
      <c r="E32" s="2">
        <v>1049</v>
      </c>
      <c r="F32" s="24">
        <f>SUMIF(Ajustes!$G$3:$G$150,Perfumería!B32,Ajustes!$I$3:$I$150)+SUMIF(Ajustes!$G$3:$G$150,Perfumería!B32,Ajustes!$K$3:$K$150)</f>
        <v>-80868.37</v>
      </c>
      <c r="G32" s="44">
        <f t="shared" si="0"/>
        <v>-8</v>
      </c>
      <c r="H32" s="45">
        <f t="shared" si="1"/>
        <v>0</v>
      </c>
      <c r="I32" s="22" t="str">
        <f>IF(AND(D32="0",E32="0"),"SI",IF(COUNTIF(Ajustes!$G$3:$G$150,B32),"SI",IF(AND(D32=0,E32=0,NOT(ISBLANK(D32)),NOT(ISBLANK(E32))),"SI","")))</f>
        <v>SI</v>
      </c>
    </row>
    <row r="33" spans="1:9" x14ac:dyDescent="0.3">
      <c r="A33" s="48" t="s">
        <v>35</v>
      </c>
      <c r="B33" s="48" t="s">
        <v>193</v>
      </c>
      <c r="C33" s="4">
        <v>45883</v>
      </c>
      <c r="D33" s="1">
        <v>279</v>
      </c>
      <c r="E33" s="1">
        <v>255</v>
      </c>
      <c r="F33" s="24">
        <f>SUMIF(Ajustes!$G$3:$G$150,Perfumería!B33,Ajustes!$I$3:$I$150)+SUMIF(Ajustes!$G$3:$G$150,Perfumería!B33,Ajustes!$K$3:$K$150)</f>
        <v>-108580.71</v>
      </c>
      <c r="G33" s="44">
        <f t="shared" si="0"/>
        <v>-24</v>
      </c>
      <c r="H33" s="45">
        <f t="shared" si="1"/>
        <v>0</v>
      </c>
      <c r="I33" s="22" t="str">
        <f>IF(AND(D33="0",E33="0"),"SI",IF(COUNTIF(Ajustes!$G$3:$G$150,B33),"SI",IF(AND(D33=0,E33=0,NOT(ISBLANK(D33)),NOT(ISBLANK(E33))),"SI","")))</f>
        <v>SI</v>
      </c>
    </row>
    <row r="34" spans="1:9" x14ac:dyDescent="0.3">
      <c r="A34" s="48" t="s">
        <v>65</v>
      </c>
      <c r="B34" s="48" t="s">
        <v>194</v>
      </c>
      <c r="C34" s="4">
        <v>45922</v>
      </c>
      <c r="D34" s="1">
        <v>59</v>
      </c>
      <c r="E34" s="1">
        <v>59</v>
      </c>
      <c r="F34" s="24">
        <f>SUMIF(Ajustes!$G$3:$G$150,Perfumería!B34,Ajustes!$I$3:$I$150)+SUMIF(Ajustes!$G$3:$G$150,Perfumería!B34,Ajustes!$K$3:$K$150)</f>
        <v>0</v>
      </c>
      <c r="G34" s="44">
        <f>E34-D34</f>
        <v>0</v>
      </c>
      <c r="H34" s="49">
        <f>IF(C34&lt;&gt;"",0,"")</f>
        <v>0</v>
      </c>
      <c r="I34" s="22" t="str">
        <f>IF(AND(D34="0",E34="0"),"SI",IF(COUNTIF(Ajustes!$G$3:$G$150,B34),"SI",IF(AND(D34=0,E34=0,NOT(ISBLANK(D34)),NOT(ISBLANK(E34))),"SI","")))</f>
        <v>SI</v>
      </c>
    </row>
    <row r="35" spans="1:9" x14ac:dyDescent="0.3">
      <c r="A35" s="48" t="s">
        <v>65</v>
      </c>
      <c r="B35" s="48" t="s">
        <v>195</v>
      </c>
      <c r="C35" s="4">
        <v>45922</v>
      </c>
      <c r="D35" s="1">
        <v>50</v>
      </c>
      <c r="E35" s="1">
        <v>50</v>
      </c>
      <c r="F35" s="24">
        <f>SUMIF(Ajustes!$G$3:$G$150,Perfumería!B35,Ajustes!$I$3:$I$150)+SUMIF(Ajustes!$G$3:$G$150,Perfumería!B35,Ajustes!$K$3:$K$150)</f>
        <v>0</v>
      </c>
      <c r="G35" s="44">
        <f t="shared" ref="G35:G53" si="2">E35-D35</f>
        <v>0</v>
      </c>
      <c r="H35" s="49">
        <f t="shared" ref="H35:H53" si="3">IF(C35&lt;&gt;"",0,"")</f>
        <v>0</v>
      </c>
      <c r="I35" s="22" t="str">
        <f>IF(AND(D35="0",E35="0"),"SI",IF(COUNTIF(Ajustes!$G$3:$G$150,B35),"SI",IF(AND(D35=0,E35=0,NOT(ISBLANK(D35)),NOT(ISBLANK(E35))),"SI","")))</f>
        <v>SI</v>
      </c>
    </row>
    <row r="36" spans="1:9" x14ac:dyDescent="0.3">
      <c r="A36" s="48" t="s">
        <v>65</v>
      </c>
      <c r="B36" s="48" t="s">
        <v>196</v>
      </c>
      <c r="C36" s="4">
        <v>45922</v>
      </c>
      <c r="D36" s="1">
        <v>0</v>
      </c>
      <c r="E36" s="1">
        <v>0</v>
      </c>
      <c r="F36" s="24">
        <f>SUMIF(Ajustes!$G$3:$G$150,Perfumería!B36,Ajustes!$I$3:$I$150)+SUMIF(Ajustes!$G$3:$G$150,Perfumería!B36,Ajustes!$K$3:$K$150)</f>
        <v>0</v>
      </c>
      <c r="G36" s="44">
        <f t="shared" si="2"/>
        <v>0</v>
      </c>
      <c r="H36" s="49">
        <f t="shared" si="3"/>
        <v>0</v>
      </c>
      <c r="I36" s="22" t="str">
        <f>IF(AND(D36="0",E36="0"),"SI",IF(COUNTIF(Ajustes!$G$3:$G$150,B36),"SI",IF(AND(D36=0,E36=0,NOT(ISBLANK(D36)),NOT(ISBLANK(E36))),"SI","")))</f>
        <v>SI</v>
      </c>
    </row>
    <row r="37" spans="1:9" x14ac:dyDescent="0.3">
      <c r="A37" s="48" t="s">
        <v>65</v>
      </c>
      <c r="B37" s="48" t="s">
        <v>197</v>
      </c>
      <c r="C37" s="4">
        <v>45922</v>
      </c>
      <c r="D37" s="1">
        <v>17</v>
      </c>
      <c r="E37" s="1">
        <v>16</v>
      </c>
      <c r="F37" s="24">
        <f>SUMIF(Ajustes!$G$3:$G$150,Perfumería!B37,Ajustes!$I$3:$I$150)+SUMIF(Ajustes!$G$3:$G$150,Perfumería!B37,Ajustes!$K$3:$K$150)</f>
        <v>-400000</v>
      </c>
      <c r="G37" s="44">
        <f t="shared" si="2"/>
        <v>-1</v>
      </c>
      <c r="H37" s="49">
        <f t="shared" si="3"/>
        <v>0</v>
      </c>
      <c r="I37" s="22" t="str">
        <f>IF(AND(D37="0",E37="0"),"SI",IF(COUNTIF(Ajustes!$G$3:$G$150,B37),"SI",IF(AND(D37=0,E37=0,NOT(ISBLANK(D37)),NOT(ISBLANK(E37))),"SI","")))</f>
        <v>SI</v>
      </c>
    </row>
    <row r="38" spans="1:9" x14ac:dyDescent="0.3">
      <c r="A38" s="48" t="s">
        <v>65</v>
      </c>
      <c r="B38" s="48" t="s">
        <v>198</v>
      </c>
      <c r="C38" s="4">
        <v>45922</v>
      </c>
      <c r="D38" s="1">
        <v>0</v>
      </c>
      <c r="E38" s="1">
        <v>0</v>
      </c>
      <c r="F38" s="24">
        <f>SUMIF(Ajustes!$G$3:$G$150,Perfumería!B38,Ajustes!$I$3:$I$150)+SUMIF(Ajustes!$G$3:$G$150,Perfumería!B38,Ajustes!$K$3:$K$150)</f>
        <v>0</v>
      </c>
      <c r="G38" s="44">
        <f t="shared" si="2"/>
        <v>0</v>
      </c>
      <c r="H38" s="49">
        <f t="shared" si="3"/>
        <v>0</v>
      </c>
      <c r="I38" s="22" t="str">
        <f>IF(AND(D38="0",E38="0"),"SI",IF(COUNTIF(Ajustes!$G$3:$G$150,B38),"SI",IF(AND(D38=0,E38=0,NOT(ISBLANK(D38)),NOT(ISBLANK(E38))),"SI","")))</f>
        <v>SI</v>
      </c>
    </row>
    <row r="39" spans="1:9" x14ac:dyDescent="0.3">
      <c r="A39" s="48" t="s">
        <v>65</v>
      </c>
      <c r="B39" s="48" t="s">
        <v>199</v>
      </c>
      <c r="C39" s="4">
        <v>45922</v>
      </c>
      <c r="D39" s="1">
        <v>57</v>
      </c>
      <c r="E39" s="1">
        <v>57</v>
      </c>
      <c r="F39" s="24">
        <f>SUMIF(Ajustes!$G$3:$G$150,Perfumería!B39,Ajustes!$I$3:$I$150)+SUMIF(Ajustes!$G$3:$G$150,Perfumería!B39,Ajustes!$K$3:$K$150)</f>
        <v>0</v>
      </c>
      <c r="G39" s="44">
        <f t="shared" si="2"/>
        <v>0</v>
      </c>
      <c r="H39" s="49">
        <f t="shared" si="3"/>
        <v>0</v>
      </c>
      <c r="I39" s="22" t="str">
        <f>IF(AND(D39="0",E39="0"),"SI",IF(COUNTIF(Ajustes!$G$3:$G$150,B39),"SI",IF(AND(D39=0,E39=0,NOT(ISBLANK(D39)),NOT(ISBLANK(E39))),"SI","")))</f>
        <v>SI</v>
      </c>
    </row>
    <row r="40" spans="1:9" x14ac:dyDescent="0.3">
      <c r="A40" s="48" t="s">
        <v>65</v>
      </c>
      <c r="B40" s="48" t="s">
        <v>200</v>
      </c>
      <c r="C40" s="4">
        <v>45922</v>
      </c>
      <c r="D40" s="1">
        <v>0</v>
      </c>
      <c r="E40" s="1">
        <v>0</v>
      </c>
      <c r="F40" s="24">
        <f>SUMIF(Ajustes!$G$3:$G$150,Perfumería!B40,Ajustes!$I$3:$I$150)+SUMIF(Ajustes!$G$3:$G$150,Perfumería!B40,Ajustes!$K$3:$K$150)</f>
        <v>0</v>
      </c>
      <c r="G40" s="44">
        <f t="shared" si="2"/>
        <v>0</v>
      </c>
      <c r="H40" s="49">
        <f t="shared" si="3"/>
        <v>0</v>
      </c>
      <c r="I40" s="22" t="str">
        <f>IF(AND(D40="0",E40="0"),"SI",IF(COUNTIF(Ajustes!$G$3:$G$150,B40),"SI",IF(AND(D40=0,E40=0,NOT(ISBLANK(D40)),NOT(ISBLANK(E40))),"SI","")))</f>
        <v>SI</v>
      </c>
    </row>
    <row r="41" spans="1:9" x14ac:dyDescent="0.3">
      <c r="A41" s="48" t="s">
        <v>65</v>
      </c>
      <c r="B41" s="48" t="s">
        <v>201</v>
      </c>
      <c r="C41" s="4">
        <v>45922</v>
      </c>
      <c r="D41" s="1">
        <v>0</v>
      </c>
      <c r="E41" s="1">
        <v>0</v>
      </c>
      <c r="F41" s="24">
        <f>SUMIF(Ajustes!$G$3:$G$150,Perfumería!B41,Ajustes!$I$3:$I$150)+SUMIF(Ajustes!$G$3:$G$150,Perfumería!B41,Ajustes!$K$3:$K$150)</f>
        <v>0</v>
      </c>
      <c r="G41" s="44">
        <f t="shared" si="2"/>
        <v>0</v>
      </c>
      <c r="H41" s="49">
        <f t="shared" si="3"/>
        <v>0</v>
      </c>
      <c r="I41" s="22" t="str">
        <f>IF(AND(D41="0",E41="0"),"SI",IF(COUNTIF(Ajustes!$G$3:$G$150,B41),"SI",IF(AND(D41=0,E41=0,NOT(ISBLANK(D41)),NOT(ISBLANK(E41))),"SI","")))</f>
        <v>SI</v>
      </c>
    </row>
    <row r="42" spans="1:9" x14ac:dyDescent="0.3">
      <c r="A42" s="48" t="s">
        <v>65</v>
      </c>
      <c r="B42" s="48" t="s">
        <v>202</v>
      </c>
      <c r="C42" s="4">
        <v>45913</v>
      </c>
      <c r="D42" s="1">
        <v>52</v>
      </c>
      <c r="E42" s="1">
        <v>52</v>
      </c>
      <c r="F42" s="24">
        <f>SUMIF(Ajustes!$G$3:$G$150,Perfumería!B42,Ajustes!$I$3:$I$150)+SUMIF(Ajustes!$G$3:$G$150,Perfumería!B42,Ajustes!$K$3:$K$150)</f>
        <v>0</v>
      </c>
      <c r="G42" s="44">
        <f t="shared" si="2"/>
        <v>0</v>
      </c>
      <c r="H42" s="49">
        <f t="shared" si="3"/>
        <v>0</v>
      </c>
      <c r="I42" s="22" t="str">
        <f>IF(AND(D42="0",E42="0"),"SI",IF(COUNTIF(Ajustes!$G$3:$G$150,B42),"SI",IF(AND(D42=0,E42=0,NOT(ISBLANK(D42)),NOT(ISBLANK(E42))),"SI","")))</f>
        <v>SI</v>
      </c>
    </row>
    <row r="43" spans="1:9" x14ac:dyDescent="0.3">
      <c r="A43" s="48" t="s">
        <v>65</v>
      </c>
      <c r="B43" s="48" t="s">
        <v>203</v>
      </c>
      <c r="C43" s="4">
        <v>45913</v>
      </c>
      <c r="D43" s="1">
        <v>33</v>
      </c>
      <c r="E43" s="1">
        <v>33</v>
      </c>
      <c r="F43" s="24">
        <f>SUMIF(Ajustes!$G$3:$G$150,Perfumería!B43,Ajustes!$I$3:$I$150)+SUMIF(Ajustes!$G$3:$G$150,Perfumería!B43,Ajustes!$K$3:$K$150)</f>
        <v>0</v>
      </c>
      <c r="G43" s="44">
        <f t="shared" si="2"/>
        <v>0</v>
      </c>
      <c r="H43" s="49">
        <f t="shared" si="3"/>
        <v>0</v>
      </c>
      <c r="I43" s="22" t="str">
        <f>IF(AND(D43="0",E43="0"),"SI",IF(COUNTIF(Ajustes!$G$3:$G$150,B43),"SI",IF(AND(D43=0,E43=0,NOT(ISBLANK(D43)),NOT(ISBLANK(E43))),"SI","")))</f>
        <v>SI</v>
      </c>
    </row>
    <row r="44" spans="1:9" x14ac:dyDescent="0.3">
      <c r="A44" s="48" t="s">
        <v>65</v>
      </c>
      <c r="B44" s="48" t="s">
        <v>204</v>
      </c>
      <c r="C44" s="4">
        <v>45924</v>
      </c>
      <c r="D44" s="1">
        <v>7</v>
      </c>
      <c r="E44" s="1">
        <v>7</v>
      </c>
      <c r="F44" s="24">
        <f>SUMIF(Ajustes!$G$3:$G$150,Perfumería!B44,Ajustes!$I$3:$I$150)+SUMIF(Ajustes!$G$3:$G$150,Perfumería!B44,Ajustes!$K$3:$K$150)</f>
        <v>0</v>
      </c>
      <c r="G44" s="44">
        <f t="shared" si="2"/>
        <v>0</v>
      </c>
      <c r="H44" s="49">
        <f t="shared" si="3"/>
        <v>0</v>
      </c>
      <c r="I44" s="22" t="str">
        <f>IF(AND(D44="0",E44="0"),"SI",IF(COUNTIF(Ajustes!$G$3:$G$150,B44),"SI",IF(AND(D44=0,E44=0,NOT(ISBLANK(D44)),NOT(ISBLANK(E44))),"SI","")))</f>
        <v>SI</v>
      </c>
    </row>
    <row r="45" spans="1:9" x14ac:dyDescent="0.3">
      <c r="A45" s="48" t="s">
        <v>65</v>
      </c>
      <c r="B45" s="48" t="s">
        <v>205</v>
      </c>
      <c r="C45" s="4">
        <v>45895</v>
      </c>
      <c r="D45" s="1">
        <v>204</v>
      </c>
      <c r="E45" s="1">
        <v>190</v>
      </c>
      <c r="F45" s="24">
        <f>SUMIF(Ajustes!$G$3:$G$150,Perfumería!B45,Ajustes!$I$3:$I$150)+SUMIF(Ajustes!$G$3:$G$150,Perfumería!B45,Ajustes!$K$3:$K$150)</f>
        <v>-64048.06</v>
      </c>
      <c r="G45" s="44">
        <f t="shared" si="2"/>
        <v>-14</v>
      </c>
      <c r="H45" s="49">
        <f t="shared" si="3"/>
        <v>0</v>
      </c>
      <c r="I45" s="22" t="str">
        <f>IF(AND(D45="0",E45="0"),"SI",IF(COUNTIF(Ajustes!$G$3:$G$150,B45),"SI",IF(AND(D45=0,E45=0,NOT(ISBLANK(D45)),NOT(ISBLANK(E45))),"SI","")))</f>
        <v>SI</v>
      </c>
    </row>
    <row r="46" spans="1:9" x14ac:dyDescent="0.3">
      <c r="A46" s="48" t="s">
        <v>65</v>
      </c>
      <c r="B46" s="48" t="s">
        <v>206</v>
      </c>
      <c r="C46" s="4">
        <v>45922</v>
      </c>
      <c r="D46" s="1">
        <v>39</v>
      </c>
      <c r="E46" s="1">
        <v>39</v>
      </c>
      <c r="F46" s="24">
        <f>SUMIF(Ajustes!$G$3:$G$150,Perfumería!B46,Ajustes!$I$3:$I$150)+SUMIF(Ajustes!$G$3:$G$150,Perfumería!B46,Ajustes!$K$3:$K$150)</f>
        <v>0</v>
      </c>
      <c r="G46" s="44">
        <f t="shared" si="2"/>
        <v>0</v>
      </c>
      <c r="H46" s="49">
        <f t="shared" si="3"/>
        <v>0</v>
      </c>
      <c r="I46" s="22" t="str">
        <f>IF(AND(D46="0",E46="0"),"SI",IF(COUNTIF(Ajustes!$G$3:$G$150,B46),"SI",IF(AND(D46=0,E46=0,NOT(ISBLANK(D46)),NOT(ISBLANK(E46))),"SI","")))</f>
        <v>SI</v>
      </c>
    </row>
    <row r="47" spans="1:9" x14ac:dyDescent="0.3">
      <c r="A47" s="48" t="s">
        <v>65</v>
      </c>
      <c r="B47" s="48" t="s">
        <v>207</v>
      </c>
      <c r="C47" s="4">
        <v>45924</v>
      </c>
      <c r="D47" s="1">
        <v>0</v>
      </c>
      <c r="E47" s="1">
        <v>0</v>
      </c>
      <c r="F47" s="24">
        <f>SUMIF(Ajustes!$G$3:$G$150,Perfumería!B47,Ajustes!$I$3:$I$150)+SUMIF(Ajustes!$G$3:$G$150,Perfumería!B47,Ajustes!$K$3:$K$150)</f>
        <v>0</v>
      </c>
      <c r="G47" s="44">
        <f t="shared" si="2"/>
        <v>0</v>
      </c>
      <c r="H47" s="49">
        <f t="shared" si="3"/>
        <v>0</v>
      </c>
      <c r="I47" s="22" t="str">
        <f>IF(AND(D47="0",E47="0"),"SI",IF(COUNTIF(Ajustes!$G$3:$G$150,B47),"SI",IF(AND(D47=0,E47=0,NOT(ISBLANK(D47)),NOT(ISBLANK(E47))),"SI","")))</f>
        <v>SI</v>
      </c>
    </row>
    <row r="48" spans="1:9" x14ac:dyDescent="0.3">
      <c r="A48" s="48" t="s">
        <v>65</v>
      </c>
      <c r="B48" s="48" t="s">
        <v>208</v>
      </c>
      <c r="C48" s="7">
        <v>45913</v>
      </c>
      <c r="D48" s="2">
        <v>46</v>
      </c>
      <c r="E48" s="2">
        <v>45</v>
      </c>
      <c r="F48" s="24">
        <f>SUMIF(Ajustes!$G$3:$G$150,Perfumería!B48,Ajustes!$I$3:$I$150)+SUMIF(Ajustes!$G$3:$G$150,Perfumería!B48,Ajustes!$K$3:$K$150)</f>
        <v>-37749.96</v>
      </c>
      <c r="G48" s="44">
        <f t="shared" si="2"/>
        <v>-1</v>
      </c>
      <c r="H48" s="49">
        <f t="shared" si="3"/>
        <v>0</v>
      </c>
      <c r="I48" s="22" t="str">
        <f>IF(AND(D48="0",E48="0"),"SI",IF(COUNTIF(Ajustes!$G$3:$G$150,B48),"SI",IF(AND(D48=0,E48=0,NOT(ISBLANK(D48)),NOT(ISBLANK(E48))),"SI","")))</f>
        <v>SI</v>
      </c>
    </row>
    <row r="49" spans="1:9" x14ac:dyDescent="0.3">
      <c r="A49" s="48" t="s">
        <v>65</v>
      </c>
      <c r="B49" s="48" t="s">
        <v>209</v>
      </c>
      <c r="C49" s="4">
        <v>45895</v>
      </c>
      <c r="D49" s="1">
        <v>84</v>
      </c>
      <c r="E49" s="1">
        <v>84</v>
      </c>
      <c r="F49" s="24">
        <f>SUMIF(Ajustes!$G$3:$G$150,Perfumería!B49,Ajustes!$I$3:$I$150)+SUMIF(Ajustes!$G$3:$G$150,Perfumería!B49,Ajustes!$K$3:$K$150)</f>
        <v>0</v>
      </c>
      <c r="G49" s="44">
        <f t="shared" si="2"/>
        <v>0</v>
      </c>
      <c r="H49" s="49">
        <f t="shared" si="3"/>
        <v>0</v>
      </c>
      <c r="I49" s="22" t="str">
        <f>IF(AND(D49="0",E49="0"),"SI",IF(COUNTIF(Ajustes!$G$3:$G$150,B49),"SI",IF(AND(D49=0,E49=0,NOT(ISBLANK(D49)),NOT(ISBLANK(E49))),"SI","")))</f>
        <v>SI</v>
      </c>
    </row>
    <row r="50" spans="1:9" x14ac:dyDescent="0.3">
      <c r="A50" s="48" t="s">
        <v>65</v>
      </c>
      <c r="B50" s="48" t="s">
        <v>210</v>
      </c>
      <c r="C50" s="4">
        <v>45922</v>
      </c>
      <c r="D50" s="1">
        <v>35</v>
      </c>
      <c r="E50" s="1">
        <v>35</v>
      </c>
      <c r="F50" s="24">
        <f>SUMIF(Ajustes!$G$3:$G$150,Perfumería!B50,Ajustes!$I$3:$I$150)+SUMIF(Ajustes!$G$3:$G$150,Perfumería!B50,Ajustes!$K$3:$K$150)</f>
        <v>0</v>
      </c>
      <c r="G50" s="44">
        <f t="shared" si="2"/>
        <v>0</v>
      </c>
      <c r="H50" s="49">
        <f t="shared" si="3"/>
        <v>0</v>
      </c>
      <c r="I50" s="22" t="str">
        <f>IF(AND(D50="0",E50="0"),"SI",IF(COUNTIF(Ajustes!$G$3:$G$150,B50),"SI",IF(AND(D50=0,E50=0,NOT(ISBLANK(D50)),NOT(ISBLANK(E50))),"SI","")))</f>
        <v>SI</v>
      </c>
    </row>
    <row r="51" spans="1:9" x14ac:dyDescent="0.3">
      <c r="A51" s="48" t="s">
        <v>65</v>
      </c>
      <c r="B51" s="48" t="s">
        <v>211</v>
      </c>
      <c r="C51" s="4">
        <v>45913</v>
      </c>
      <c r="D51" s="1">
        <v>38</v>
      </c>
      <c r="E51" s="1">
        <v>38</v>
      </c>
      <c r="F51" s="24">
        <f>SUMIF(Ajustes!$G$3:$G$150,Perfumería!B51,Ajustes!$I$3:$I$150)+SUMIF(Ajustes!$G$3:$G$150,Perfumería!B51,Ajustes!$K$3:$K$150)</f>
        <v>0</v>
      </c>
      <c r="G51" s="44">
        <f t="shared" si="2"/>
        <v>0</v>
      </c>
      <c r="H51" s="49">
        <f t="shared" si="3"/>
        <v>0</v>
      </c>
      <c r="I51" s="22" t="str">
        <f>IF(AND(D51="0",E51="0"),"SI",IF(COUNTIF(Ajustes!$G$3:$G$150,B51),"SI",IF(AND(D51=0,E51=0,NOT(ISBLANK(D51)),NOT(ISBLANK(E51))),"SI","")))</f>
        <v>SI</v>
      </c>
    </row>
    <row r="52" spans="1:9" x14ac:dyDescent="0.3">
      <c r="A52" s="48" t="s">
        <v>65</v>
      </c>
      <c r="B52" s="48" t="s">
        <v>117</v>
      </c>
      <c r="C52" s="4">
        <v>45922</v>
      </c>
      <c r="D52" s="1">
        <v>0</v>
      </c>
      <c r="E52" s="1">
        <v>0</v>
      </c>
      <c r="F52" s="24">
        <f>SUMIF(Ajustes!$G$3:$G$150,Perfumería!B52,Ajustes!$I$3:$I$150)+SUMIF(Ajustes!$G$3:$G$150,Perfumería!B52,Ajustes!$K$3:$K$150)</f>
        <v>0</v>
      </c>
      <c r="G52" s="44">
        <f t="shared" si="2"/>
        <v>0</v>
      </c>
      <c r="H52" s="49">
        <f t="shared" si="3"/>
        <v>0</v>
      </c>
      <c r="I52" s="22" t="str">
        <f>IF(AND(D52="0",E52="0"),"SI",IF(COUNTIF(Ajustes!$G$3:$G$150,B52),"SI",IF(AND(D52=0,E52=0,NOT(ISBLANK(D52)),NOT(ISBLANK(E52))),"SI","")))</f>
        <v>SI</v>
      </c>
    </row>
    <row r="53" spans="1:9" x14ac:dyDescent="0.3">
      <c r="A53" s="48" t="s">
        <v>65</v>
      </c>
      <c r="B53" s="48" t="s">
        <v>212</v>
      </c>
      <c r="C53" s="4">
        <v>45913</v>
      </c>
      <c r="D53" s="1">
        <v>117</v>
      </c>
      <c r="E53" s="1">
        <v>121</v>
      </c>
      <c r="F53" s="24">
        <f>SUMIF(Ajustes!$G$3:$G$150,Perfumería!B53,Ajustes!$I$3:$I$150)+SUMIF(Ajustes!$G$3:$G$150,Perfumería!B53,Ajustes!$K$3:$K$150)</f>
        <v>363571.88</v>
      </c>
      <c r="G53" s="44">
        <f t="shared" si="2"/>
        <v>4</v>
      </c>
      <c r="H53" s="49">
        <f t="shared" si="3"/>
        <v>0</v>
      </c>
      <c r="I53" s="22" t="str">
        <f>IF(AND(D53="0",E53="0"),"SI",IF(COUNTIF(Ajustes!$G$3:$G$150,B53),"SI",IF(AND(D53=0,E53=0,NOT(ISBLANK(D53)),NOT(ISBLANK(E53))),"SI","")))</f>
        <v>SI</v>
      </c>
    </row>
    <row r="54" spans="1:9" x14ac:dyDescent="0.3">
      <c r="A54" s="48" t="s">
        <v>120</v>
      </c>
      <c r="B54" s="48" t="s">
        <v>213</v>
      </c>
      <c r="C54" s="4">
        <v>45922</v>
      </c>
      <c r="D54" s="1">
        <v>109</v>
      </c>
      <c r="E54" s="1">
        <v>109</v>
      </c>
      <c r="F54" s="24">
        <f>SUMIF(Ajustes!$G$3:$G$150,Perfumería!B54,Ajustes!$I$3:$I$150)+SUMIF(Ajustes!$G$3:$G$150,Perfumería!B54,Ajustes!$K$3:$K$150)</f>
        <v>0</v>
      </c>
      <c r="G54" s="44">
        <f>E54-D54</f>
        <v>0</v>
      </c>
      <c r="H54" s="50">
        <f>IF(C54&lt;&gt;"",0,"")</f>
        <v>0</v>
      </c>
      <c r="I54" s="22" t="str">
        <f>IF(AND(D54="0",E54="0"),"SI",IF(COUNTIF(Ajustes!$G$3:$G$150,B54),"SI",IF(AND(D54=0,E54=0,NOT(ISBLANK(D54)),NOT(ISBLANK(E54))),"SI","")))</f>
        <v>SI</v>
      </c>
    </row>
    <row r="55" spans="1:9" x14ac:dyDescent="0.3">
      <c r="A55" s="48" t="s">
        <v>120</v>
      </c>
      <c r="B55" s="48" t="s">
        <v>214</v>
      </c>
      <c r="C55" s="4">
        <v>45922</v>
      </c>
      <c r="D55" s="1">
        <v>23</v>
      </c>
      <c r="E55" s="1">
        <v>23</v>
      </c>
      <c r="F55" s="24">
        <f>SUMIF(Ajustes!$G$3:$G$150,Perfumería!B55,Ajustes!$I$3:$I$150)+SUMIF(Ajustes!$G$3:$G$150,Perfumería!B55,Ajustes!$K$3:$K$150)</f>
        <v>0</v>
      </c>
      <c r="G55" s="44">
        <f t="shared" ref="G55:G63" si="4">E55-D55</f>
        <v>0</v>
      </c>
      <c r="H55" s="50">
        <f t="shared" ref="H55:H63" si="5">IF(C55&lt;&gt;"",0,"")</f>
        <v>0</v>
      </c>
      <c r="I55" s="22" t="str">
        <f>IF(AND(D55="0",E55="0"),"SI",IF(COUNTIF(Ajustes!$G$3:$G$150,B55),"SI",IF(AND(D55=0,E55=0,NOT(ISBLANK(D55)),NOT(ISBLANK(E55))),"SI","")))</f>
        <v>SI</v>
      </c>
    </row>
    <row r="56" spans="1:9" x14ac:dyDescent="0.3">
      <c r="A56" s="48" t="s">
        <v>120</v>
      </c>
      <c r="B56" s="48" t="s">
        <v>215</v>
      </c>
      <c r="C56" s="4">
        <v>45922</v>
      </c>
      <c r="D56" s="1">
        <v>0</v>
      </c>
      <c r="E56" s="1">
        <v>0</v>
      </c>
      <c r="F56" s="24">
        <f>SUMIF(Ajustes!$G$3:$G$150,Perfumería!B56,Ajustes!$I$3:$I$150)+SUMIF(Ajustes!$G$3:$G$150,Perfumería!B56,Ajustes!$K$3:$K$150)</f>
        <v>0</v>
      </c>
      <c r="G56" s="44">
        <f t="shared" si="4"/>
        <v>0</v>
      </c>
      <c r="H56" s="50">
        <f t="shared" si="5"/>
        <v>0</v>
      </c>
      <c r="I56" s="22" t="str">
        <f>IF(AND(D56="0",E56="0"),"SI",IF(COUNTIF(Ajustes!$G$3:$G$150,B56),"SI",IF(AND(D56=0,E56=0,NOT(ISBLANK(D56)),NOT(ISBLANK(E56))),"SI","")))</f>
        <v>SI</v>
      </c>
    </row>
    <row r="57" spans="1:9" x14ac:dyDescent="0.3">
      <c r="A57" s="48" t="s">
        <v>120</v>
      </c>
      <c r="B57" s="48" t="s">
        <v>216</v>
      </c>
      <c r="C57" s="4">
        <v>45922</v>
      </c>
      <c r="D57" s="1">
        <v>23</v>
      </c>
      <c r="E57" s="1">
        <v>23</v>
      </c>
      <c r="F57" s="24">
        <f>SUMIF(Ajustes!$G$3:$G$150,Perfumería!B57,Ajustes!$I$3:$I$150)+SUMIF(Ajustes!$G$3:$G$150,Perfumería!B57,Ajustes!$K$3:$K$150)</f>
        <v>0</v>
      </c>
      <c r="G57" s="44">
        <f t="shared" si="4"/>
        <v>0</v>
      </c>
      <c r="H57" s="50">
        <f t="shared" si="5"/>
        <v>0</v>
      </c>
      <c r="I57" s="22" t="str">
        <f>IF(AND(D57="0",E57="0"),"SI",IF(COUNTIF(Ajustes!$G$3:$G$150,B57),"SI",IF(AND(D57=0,E57=0,NOT(ISBLANK(D57)),NOT(ISBLANK(E57))),"SI","")))</f>
        <v>SI</v>
      </c>
    </row>
    <row r="58" spans="1:9" x14ac:dyDescent="0.3">
      <c r="A58" s="48" t="s">
        <v>120</v>
      </c>
      <c r="B58" s="48" t="s">
        <v>217</v>
      </c>
      <c r="C58" s="4">
        <v>45922</v>
      </c>
      <c r="D58" s="1">
        <v>0</v>
      </c>
      <c r="E58" s="1">
        <v>0</v>
      </c>
      <c r="F58" s="24">
        <f>SUMIF(Ajustes!$G$3:$G$150,Perfumería!B58,Ajustes!$I$3:$I$150)+SUMIF(Ajustes!$G$3:$G$150,Perfumería!B58,Ajustes!$K$3:$K$150)</f>
        <v>0</v>
      </c>
      <c r="G58" s="44">
        <f t="shared" si="4"/>
        <v>0</v>
      </c>
      <c r="H58" s="50">
        <f t="shared" si="5"/>
        <v>0</v>
      </c>
      <c r="I58" s="22" t="str">
        <f>IF(AND(D58="0",E58="0"),"SI",IF(COUNTIF(Ajustes!$G$3:$G$150,B58),"SI",IF(AND(D58=0,E58=0,NOT(ISBLANK(D58)),NOT(ISBLANK(E58))),"SI","")))</f>
        <v>SI</v>
      </c>
    </row>
    <row r="59" spans="1:9" x14ac:dyDescent="0.3">
      <c r="A59" s="48" t="s">
        <v>120</v>
      </c>
      <c r="B59" s="48" t="s">
        <v>218</v>
      </c>
      <c r="C59" s="4">
        <v>45922</v>
      </c>
      <c r="D59" s="1">
        <v>0</v>
      </c>
      <c r="E59" s="1">
        <v>0</v>
      </c>
      <c r="F59" s="24">
        <f>SUMIF(Ajustes!$G$3:$G$150,Perfumería!B59,Ajustes!$I$3:$I$150)+SUMIF(Ajustes!$G$3:$G$150,Perfumería!B59,Ajustes!$K$3:$K$150)</f>
        <v>0</v>
      </c>
      <c r="G59" s="44">
        <f t="shared" si="4"/>
        <v>0</v>
      </c>
      <c r="H59" s="50">
        <f t="shared" si="5"/>
        <v>0</v>
      </c>
      <c r="I59" s="22" t="str">
        <f>IF(AND(D59="0",E59="0"),"SI",IF(COUNTIF(Ajustes!$G$3:$G$150,B59),"SI",IF(AND(D59=0,E59=0,NOT(ISBLANK(D59)),NOT(ISBLANK(E59))),"SI","")))</f>
        <v>SI</v>
      </c>
    </row>
    <row r="60" spans="1:9" x14ac:dyDescent="0.3">
      <c r="A60" s="48" t="s">
        <v>120</v>
      </c>
      <c r="B60" s="48" t="s">
        <v>219</v>
      </c>
      <c r="C60" s="7">
        <v>45915</v>
      </c>
      <c r="D60" s="2">
        <v>150</v>
      </c>
      <c r="E60" s="2">
        <v>150</v>
      </c>
      <c r="F60" s="24">
        <f>SUMIF(Ajustes!$G$3:$G$150,Perfumería!B60,Ajustes!$I$3:$I$150)+SUMIF(Ajustes!$G$3:$G$150,Perfumería!B60,Ajustes!$K$3:$K$150)</f>
        <v>0</v>
      </c>
      <c r="G60" s="44">
        <f t="shared" si="4"/>
        <v>0</v>
      </c>
      <c r="H60" s="50">
        <f t="shared" si="5"/>
        <v>0</v>
      </c>
      <c r="I60" s="22" t="str">
        <f>IF(AND(D60="0",E60="0"),"SI",IF(COUNTIF(Ajustes!$G$3:$G$150,B60),"SI",IF(AND(D60=0,E60=0,NOT(ISBLANK(D60)),NOT(ISBLANK(E60))),"SI","")))</f>
        <v>SI</v>
      </c>
    </row>
    <row r="61" spans="1:9" x14ac:dyDescent="0.3">
      <c r="A61" s="48" t="s">
        <v>120</v>
      </c>
      <c r="B61" s="48" t="s">
        <v>220</v>
      </c>
      <c r="C61" s="4">
        <v>45922</v>
      </c>
      <c r="D61" s="1">
        <v>31</v>
      </c>
      <c r="E61" s="1">
        <v>31</v>
      </c>
      <c r="F61" s="24">
        <f>SUMIF(Ajustes!$G$3:$G$150,Perfumería!B61,Ajustes!$I$3:$I$150)+SUMIF(Ajustes!$G$3:$G$150,Perfumería!B61,Ajustes!$K$3:$K$150)</f>
        <v>0</v>
      </c>
      <c r="G61" s="44">
        <f t="shared" si="4"/>
        <v>0</v>
      </c>
      <c r="H61" s="50">
        <f t="shared" si="5"/>
        <v>0</v>
      </c>
      <c r="I61" s="22" t="str">
        <f>IF(AND(D61="0",E61="0"),"SI",IF(COUNTIF(Ajustes!$G$3:$G$150,B61),"SI",IF(AND(D61=0,E61=0,NOT(ISBLANK(D61)),NOT(ISBLANK(E61))),"SI","")))</f>
        <v>SI</v>
      </c>
    </row>
    <row r="62" spans="1:9" x14ac:dyDescent="0.3">
      <c r="A62" s="48" t="s">
        <v>120</v>
      </c>
      <c r="B62" s="48" t="s">
        <v>221</v>
      </c>
      <c r="C62" s="4">
        <v>45922</v>
      </c>
      <c r="D62" s="1">
        <v>0</v>
      </c>
      <c r="E62" s="1">
        <v>0</v>
      </c>
      <c r="F62" s="24">
        <f>SUMIF(Ajustes!$G$3:$G$150,Perfumería!B62,Ajustes!$I$3:$I$150)+SUMIF(Ajustes!$G$3:$G$150,Perfumería!B62,Ajustes!$K$3:$K$150)</f>
        <v>0</v>
      </c>
      <c r="G62" s="44">
        <f t="shared" si="4"/>
        <v>0</v>
      </c>
      <c r="H62" s="50">
        <f t="shared" si="5"/>
        <v>0</v>
      </c>
      <c r="I62" s="22" t="str">
        <f>IF(AND(D62="0",E62="0"),"SI",IF(COUNTIF(Ajustes!$G$3:$G$150,B62),"SI",IF(AND(D62=0,E62=0,NOT(ISBLANK(D62)),NOT(ISBLANK(E62))),"SI","")))</f>
        <v>SI</v>
      </c>
    </row>
    <row r="63" spans="1:9" x14ac:dyDescent="0.3">
      <c r="A63" s="48" t="s">
        <v>120</v>
      </c>
      <c r="B63" s="48" t="s">
        <v>222</v>
      </c>
      <c r="C63" s="4">
        <v>45922</v>
      </c>
      <c r="D63" s="1">
        <v>5</v>
      </c>
      <c r="E63" s="1">
        <v>5</v>
      </c>
      <c r="F63" s="24">
        <f>SUMIF(Ajustes!$G$3:$G$150,Perfumería!B63,Ajustes!$I$3:$I$150)+SUMIF(Ajustes!$G$3:$G$150,Perfumería!B63,Ajustes!$K$3:$K$150)</f>
        <v>0</v>
      </c>
      <c r="G63" s="44">
        <f t="shared" si="4"/>
        <v>0</v>
      </c>
      <c r="H63" s="50">
        <f t="shared" si="5"/>
        <v>0</v>
      </c>
      <c r="I63" s="22" t="str">
        <f>IF(AND(D63="0",E63="0"),"SI",IF(COUNTIF(Ajustes!$G$3:$G$150,B63),"SI",IF(AND(D63=0,E63=0,NOT(ISBLANK(D63)),NOT(ISBLANK(E63))),"SI","")))</f>
        <v>SI</v>
      </c>
    </row>
    <row r="64" spans="1:9" x14ac:dyDescent="0.3">
      <c r="A64" s="48" t="s">
        <v>120</v>
      </c>
      <c r="B64" s="48" t="s">
        <v>223</v>
      </c>
      <c r="C64" s="4">
        <v>45924</v>
      </c>
      <c r="D64" s="1">
        <v>1</v>
      </c>
      <c r="E64" s="1">
        <v>1</v>
      </c>
      <c r="F64" s="24">
        <f>SUMIF(Ajustes!$G$3:$G$150,Perfumería!B64,Ajustes!$I$3:$I$150)+SUMIF(Ajustes!$G$3:$G$150,Perfumería!B64,Ajustes!$K$3:$K$150)</f>
        <v>0</v>
      </c>
      <c r="G64" s="44">
        <f t="shared" ref="G64:G83" si="6">E64-D64</f>
        <v>0</v>
      </c>
      <c r="H64" s="50">
        <f t="shared" ref="H64:H83" si="7">IF(C64&lt;&gt;"",0,"")</f>
        <v>0</v>
      </c>
      <c r="I64" s="22" t="str">
        <f>IF(AND(D64="0",E64="0"),"SI",IF(COUNTIF(Ajustes!$G$3:$G$150,B64),"SI",IF(AND(D64=0,E64=0,NOT(ISBLANK(D64)),NOT(ISBLANK(E64))),"SI","")))</f>
        <v>SI</v>
      </c>
    </row>
    <row r="65" spans="1:9" x14ac:dyDescent="0.3">
      <c r="A65" s="48" t="s">
        <v>120</v>
      </c>
      <c r="B65" s="48" t="s">
        <v>224</v>
      </c>
      <c r="C65" s="4">
        <v>45923</v>
      </c>
      <c r="D65" s="1">
        <v>5</v>
      </c>
      <c r="E65" s="1">
        <v>5</v>
      </c>
      <c r="F65" s="24">
        <f>SUMIF(Ajustes!$G$3:$G$150,Perfumería!B65,Ajustes!$I$3:$I$150)+SUMIF(Ajustes!$G$3:$G$150,Perfumería!B65,Ajustes!$K$3:$K$150)</f>
        <v>0</v>
      </c>
      <c r="G65" s="44">
        <f t="shared" si="6"/>
        <v>0</v>
      </c>
      <c r="H65" s="50">
        <f t="shared" si="7"/>
        <v>0</v>
      </c>
      <c r="I65" s="22" t="str">
        <f>IF(AND(D65="0",E65="0"),"SI",IF(COUNTIF(Ajustes!$G$3:$G$150,B65),"SI",IF(AND(D65=0,E65=0,NOT(ISBLANK(D65)),NOT(ISBLANK(E65))),"SI","")))</f>
        <v>SI</v>
      </c>
    </row>
    <row r="66" spans="1:9" x14ac:dyDescent="0.3">
      <c r="A66" s="48" t="s">
        <v>120</v>
      </c>
      <c r="B66" s="48" t="s">
        <v>225</v>
      </c>
      <c r="C66" s="4">
        <v>45922</v>
      </c>
      <c r="D66" s="1">
        <v>39</v>
      </c>
      <c r="E66" s="1">
        <v>39</v>
      </c>
      <c r="F66" s="24">
        <f>SUMIF(Ajustes!$G$3:$G$150,Perfumería!B66,Ajustes!$I$3:$I$150)+SUMIF(Ajustes!$G$3:$G$150,Perfumería!B66,Ajustes!$K$3:$K$150)</f>
        <v>0</v>
      </c>
      <c r="G66" s="44">
        <f t="shared" si="6"/>
        <v>0</v>
      </c>
      <c r="H66" s="50">
        <f t="shared" si="7"/>
        <v>0</v>
      </c>
      <c r="I66" s="22" t="str">
        <f>IF(AND(D66="0",E66="0"),"SI",IF(COUNTIF(Ajustes!$G$3:$G$150,B66),"SI",IF(AND(D66=0,E66=0,NOT(ISBLANK(D66)),NOT(ISBLANK(E66))),"SI","")))</f>
        <v>SI</v>
      </c>
    </row>
    <row r="67" spans="1:9" x14ac:dyDescent="0.3">
      <c r="A67" s="48" t="s">
        <v>120</v>
      </c>
      <c r="B67" s="48" t="s">
        <v>226</v>
      </c>
      <c r="C67" s="4">
        <v>45924</v>
      </c>
      <c r="D67" s="1">
        <v>0</v>
      </c>
      <c r="E67" s="1">
        <v>0</v>
      </c>
      <c r="F67" s="24">
        <f>SUMIF(Ajustes!$G$3:$G$150,Perfumería!B67,Ajustes!$I$3:$I$150)+SUMIF(Ajustes!$G$3:$G$150,Perfumería!B67,Ajustes!$K$3:$K$150)</f>
        <v>0</v>
      </c>
      <c r="G67" s="44">
        <f t="shared" si="6"/>
        <v>0</v>
      </c>
      <c r="H67" s="50">
        <f t="shared" si="7"/>
        <v>0</v>
      </c>
      <c r="I67" s="22" t="str">
        <f>IF(AND(D67="0",E67="0"),"SI",IF(COUNTIF(Ajustes!$G$3:$G$150,B67),"SI",IF(AND(D67=0,E67=0,NOT(ISBLANK(D67)),NOT(ISBLANK(E67))),"SI","")))</f>
        <v>SI</v>
      </c>
    </row>
    <row r="68" spans="1:9" x14ac:dyDescent="0.3">
      <c r="A68" s="48" t="s">
        <v>120</v>
      </c>
      <c r="B68" s="48" t="s">
        <v>227</v>
      </c>
      <c r="C68" s="4">
        <v>45922</v>
      </c>
      <c r="D68" s="1">
        <v>11</v>
      </c>
      <c r="E68" s="1">
        <v>11</v>
      </c>
      <c r="F68" s="24">
        <f>SUMIF(Ajustes!$G$3:$G$150,Perfumería!B68,Ajustes!$I$3:$I$150)+SUMIF(Ajustes!$G$3:$G$150,Perfumería!B68,Ajustes!$K$3:$K$150)</f>
        <v>0</v>
      </c>
      <c r="G68" s="44">
        <f t="shared" si="6"/>
        <v>0</v>
      </c>
      <c r="H68" s="50">
        <f t="shared" si="7"/>
        <v>0</v>
      </c>
      <c r="I68" s="22" t="str">
        <f>IF(AND(D68="0",E68="0"),"SI",IF(COUNTIF(Ajustes!$G$3:$G$150,B68),"SI",IF(AND(D68=0,E68=0,NOT(ISBLANK(D68)),NOT(ISBLANK(E68))),"SI","")))</f>
        <v>SI</v>
      </c>
    </row>
    <row r="69" spans="1:9" x14ac:dyDescent="0.3">
      <c r="A69" s="48" t="s">
        <v>120</v>
      </c>
      <c r="B69" s="48" t="s">
        <v>228</v>
      </c>
      <c r="C69" s="4">
        <v>45922</v>
      </c>
      <c r="D69" s="1">
        <v>0</v>
      </c>
      <c r="E69" s="1">
        <v>0</v>
      </c>
      <c r="F69" s="24">
        <f>SUMIF(Ajustes!$G$3:$G$150,Perfumería!B69,Ajustes!$I$3:$I$150)+SUMIF(Ajustes!$G$3:$G$150,Perfumería!B69,Ajustes!$K$3:$K$150)</f>
        <v>0</v>
      </c>
      <c r="G69" s="44">
        <f t="shared" si="6"/>
        <v>0</v>
      </c>
      <c r="H69" s="50">
        <f t="shared" si="7"/>
        <v>0</v>
      </c>
      <c r="I69" s="22" t="str">
        <f>IF(AND(D69="0",E69="0"),"SI",IF(COUNTIF(Ajustes!$G$3:$G$150,B69),"SI",IF(AND(D69=0,E69=0,NOT(ISBLANK(D69)),NOT(ISBLANK(E69))),"SI","")))</f>
        <v>SI</v>
      </c>
    </row>
    <row r="70" spans="1:9" x14ac:dyDescent="0.3">
      <c r="A70" s="48" t="s">
        <v>120</v>
      </c>
      <c r="B70" s="48" t="s">
        <v>229</v>
      </c>
      <c r="C70" s="4">
        <v>45922</v>
      </c>
      <c r="D70" s="1">
        <v>2</v>
      </c>
      <c r="E70" s="1">
        <v>2</v>
      </c>
      <c r="F70" s="24">
        <f>SUMIF(Ajustes!$G$3:$G$150,Perfumería!B70,Ajustes!$I$3:$I$150)+SUMIF(Ajustes!$G$3:$G$150,Perfumería!B70,Ajustes!$K$3:$K$150)</f>
        <v>0</v>
      </c>
      <c r="G70" s="44">
        <f t="shared" si="6"/>
        <v>0</v>
      </c>
      <c r="H70" s="50">
        <f t="shared" si="7"/>
        <v>0</v>
      </c>
      <c r="I70" s="22" t="str">
        <f>IF(AND(D70="0",E70="0"),"SI",IF(COUNTIF(Ajustes!$G$3:$G$150,B70),"SI",IF(AND(D70=0,E70=0,NOT(ISBLANK(D70)),NOT(ISBLANK(E70))),"SI","")))</f>
        <v>SI</v>
      </c>
    </row>
    <row r="71" spans="1:9" x14ac:dyDescent="0.3">
      <c r="A71" s="48" t="s">
        <v>120</v>
      </c>
      <c r="B71" s="48" t="s">
        <v>230</v>
      </c>
      <c r="C71" s="4">
        <v>45922</v>
      </c>
      <c r="D71" s="1">
        <v>0</v>
      </c>
      <c r="E71" s="1">
        <v>0</v>
      </c>
      <c r="F71" s="24">
        <f>SUMIF(Ajustes!$G$3:$G$150,Perfumería!B71,Ajustes!$I$3:$I$150)+SUMIF(Ajustes!$G$3:$G$150,Perfumería!B71,Ajustes!$K$3:$K$150)</f>
        <v>0</v>
      </c>
      <c r="G71" s="44">
        <f t="shared" si="6"/>
        <v>0</v>
      </c>
      <c r="H71" s="50">
        <f t="shared" si="7"/>
        <v>0</v>
      </c>
      <c r="I71" s="22" t="str">
        <f>IF(AND(D71="0",E71="0"),"SI",IF(COUNTIF(Ajustes!$G$3:$G$150,B71),"SI",IF(AND(D71=0,E71=0,NOT(ISBLANK(D71)),NOT(ISBLANK(E71))),"SI","")))</f>
        <v>SI</v>
      </c>
    </row>
    <row r="72" spans="1:9" x14ac:dyDescent="0.3">
      <c r="A72" s="48" t="s">
        <v>120</v>
      </c>
      <c r="B72" s="48" t="s">
        <v>231</v>
      </c>
      <c r="C72" s="4">
        <v>45922</v>
      </c>
      <c r="D72" s="1">
        <v>0</v>
      </c>
      <c r="E72" s="1">
        <v>0</v>
      </c>
      <c r="F72" s="24">
        <f>SUMIF(Ajustes!$G$3:$G$150,Perfumería!B72,Ajustes!$I$3:$I$150)+SUMIF(Ajustes!$G$3:$G$150,Perfumería!B72,Ajustes!$K$3:$K$150)</f>
        <v>0</v>
      </c>
      <c r="G72" s="44">
        <f t="shared" si="6"/>
        <v>0</v>
      </c>
      <c r="H72" s="50">
        <f t="shared" si="7"/>
        <v>0</v>
      </c>
      <c r="I72" s="22" t="str">
        <f>IF(AND(D72="0",E72="0"),"SI",IF(COUNTIF(Ajustes!$G$3:$G$150,B72),"SI",IF(AND(D72=0,E72=0,NOT(ISBLANK(D72)),NOT(ISBLANK(E72))),"SI","")))</f>
        <v>SI</v>
      </c>
    </row>
    <row r="73" spans="1:9" x14ac:dyDescent="0.3">
      <c r="A73" s="48" t="s">
        <v>120</v>
      </c>
      <c r="B73" s="48" t="s">
        <v>232</v>
      </c>
      <c r="C73" s="4">
        <v>45922</v>
      </c>
      <c r="D73" s="1">
        <v>15</v>
      </c>
      <c r="E73" s="1">
        <v>15</v>
      </c>
      <c r="F73" s="24">
        <f>SUMIF(Ajustes!$G$3:$G$150,Perfumería!B73,Ajustes!$I$3:$I$150)+SUMIF(Ajustes!$G$3:$G$150,Perfumería!B73,Ajustes!$K$3:$K$150)</f>
        <v>0</v>
      </c>
      <c r="G73" s="44">
        <f t="shared" si="6"/>
        <v>0</v>
      </c>
      <c r="H73" s="50">
        <f t="shared" si="7"/>
        <v>0</v>
      </c>
      <c r="I73" s="22" t="str">
        <f>IF(AND(D73="0",E73="0"),"SI",IF(COUNTIF(Ajustes!$G$3:$G$150,B73),"SI",IF(AND(D73=0,E73=0,NOT(ISBLANK(D73)),NOT(ISBLANK(E73))),"SI","")))</f>
        <v>SI</v>
      </c>
    </row>
    <row r="74" spans="1:9" x14ac:dyDescent="0.3">
      <c r="A74" s="57"/>
      <c r="B74" s="57"/>
      <c r="C74" s="4"/>
      <c r="D74" s="1"/>
      <c r="E74" s="1"/>
      <c r="F74" s="24">
        <f>SUMIF(Ajustes!$G$3:$G$150,Perfumería!B74,Ajustes!$I$3:$I$150)+SUMIF(Ajustes!$G$3:$G$150,Perfumería!B74,Ajustes!$K$3:$K$150)</f>
        <v>0</v>
      </c>
      <c r="G74" s="44">
        <f t="shared" si="6"/>
        <v>0</v>
      </c>
      <c r="H74" s="50" t="str">
        <f t="shared" si="7"/>
        <v/>
      </c>
      <c r="I74" s="22" t="str">
        <f>IF(AND(D74="0",E74="0"),"SI",IF(COUNTIF(Ajustes!$G$3:$G$150,B74),"SI",IF(AND(D74=0,E74=0,NOT(ISBLANK(D74)),NOT(ISBLANK(E74))),"SI","")))</f>
        <v/>
      </c>
    </row>
    <row r="75" spans="1:9" x14ac:dyDescent="0.3">
      <c r="A75" s="57"/>
      <c r="B75" s="57"/>
      <c r="C75" s="4"/>
      <c r="D75" s="1"/>
      <c r="E75" s="1"/>
      <c r="F75" s="24">
        <f>SUMIF(Ajustes!$G$3:$G$150,Perfumería!B75,Ajustes!$I$3:$I$150)+SUMIF(Ajustes!$G$3:$G$150,Perfumería!B75,Ajustes!$K$3:$K$150)</f>
        <v>0</v>
      </c>
      <c r="G75" s="44">
        <f t="shared" si="6"/>
        <v>0</v>
      </c>
      <c r="H75" s="50" t="str">
        <f t="shared" si="7"/>
        <v/>
      </c>
      <c r="I75" s="22" t="str">
        <f>IF(AND(D75="0",E75="0"),"SI",IF(COUNTIF(Ajustes!$G$3:$G$150,B75),"SI",IF(AND(D75=0,E75=0,NOT(ISBLANK(D75)),NOT(ISBLANK(E75))),"SI","")))</f>
        <v/>
      </c>
    </row>
    <row r="76" spans="1:9" x14ac:dyDescent="0.3">
      <c r="A76" s="57"/>
      <c r="B76" s="57"/>
      <c r="C76" s="4"/>
      <c r="D76" s="1"/>
      <c r="E76" s="1"/>
      <c r="F76" s="24">
        <f>SUMIF(Ajustes!$G$3:$G$150,Perfumería!B76,Ajustes!$I$3:$I$150)+SUMIF(Ajustes!$G$3:$G$150,Perfumería!B76,Ajustes!$K$3:$K$150)</f>
        <v>0</v>
      </c>
      <c r="G76" s="44">
        <f t="shared" si="6"/>
        <v>0</v>
      </c>
      <c r="H76" s="50" t="str">
        <f t="shared" si="7"/>
        <v/>
      </c>
      <c r="I76" s="22" t="str">
        <f>IF(AND(D76="0",E76="0"),"SI",IF(COUNTIF(Ajustes!$G$3:$G$150,B76),"SI",IF(AND(D76=0,E76=0,NOT(ISBLANK(D76)),NOT(ISBLANK(E76))),"SI","")))</f>
        <v/>
      </c>
    </row>
    <row r="77" spans="1:9" x14ac:dyDescent="0.3">
      <c r="A77" s="57"/>
      <c r="B77" s="57"/>
      <c r="C77" s="4"/>
      <c r="D77" s="1"/>
      <c r="E77" s="1"/>
      <c r="F77" s="24">
        <f>SUMIF(Ajustes!$G$3:$G$150,Perfumería!B77,Ajustes!$I$3:$I$150)+SUMIF(Ajustes!$G$3:$G$150,Perfumería!B77,Ajustes!$K$3:$K$150)</f>
        <v>0</v>
      </c>
      <c r="G77" s="44">
        <f t="shared" si="6"/>
        <v>0</v>
      </c>
      <c r="H77" s="50" t="str">
        <f t="shared" si="7"/>
        <v/>
      </c>
      <c r="I77" s="22" t="str">
        <f>IF(AND(D77="0",E77="0"),"SI",IF(COUNTIF(Ajustes!$G$3:$G$150,B77),"SI",IF(AND(D77=0,E77=0,NOT(ISBLANK(D77)),NOT(ISBLANK(E77))),"SI","")))</f>
        <v/>
      </c>
    </row>
    <row r="78" spans="1:9" x14ac:dyDescent="0.3">
      <c r="A78" s="57"/>
      <c r="B78" s="57"/>
      <c r="C78" s="4"/>
      <c r="D78" s="1"/>
      <c r="E78" s="1"/>
      <c r="F78" s="24">
        <f>SUMIF(Ajustes!$G$3:$G$150,Perfumería!B78,Ajustes!$I$3:$I$150)+SUMIF(Ajustes!$G$3:$G$150,Perfumería!B78,Ajustes!$K$3:$K$150)</f>
        <v>0</v>
      </c>
      <c r="G78" s="44">
        <f t="shared" si="6"/>
        <v>0</v>
      </c>
      <c r="H78" s="50" t="str">
        <f t="shared" si="7"/>
        <v/>
      </c>
      <c r="I78" s="22" t="str">
        <f>IF(AND(D78="0",E78="0"),"SI",IF(COUNTIF(Ajustes!$G$3:$G$150,B78),"SI",IF(AND(D78=0,E78=0,NOT(ISBLANK(D78)),NOT(ISBLANK(E78))),"SI","")))</f>
        <v/>
      </c>
    </row>
    <row r="79" spans="1:9" x14ac:dyDescent="0.3">
      <c r="A79" s="57"/>
      <c r="B79" s="57"/>
      <c r="C79" s="4"/>
      <c r="D79" s="1"/>
      <c r="E79" s="1"/>
      <c r="F79" s="24">
        <f>SUMIF(Ajustes!$G$3:$G$150,Perfumería!B79,Ajustes!$I$3:$I$150)+SUMIF(Ajustes!$G$3:$G$150,Perfumería!B79,Ajustes!$K$3:$K$150)</f>
        <v>0</v>
      </c>
      <c r="G79" s="44">
        <f t="shared" si="6"/>
        <v>0</v>
      </c>
      <c r="H79" s="50" t="str">
        <f t="shared" si="7"/>
        <v/>
      </c>
      <c r="I79" s="22" t="str">
        <f>IF(AND(D79="0",E79="0"),"SI",IF(COUNTIF(Ajustes!$G$3:$G$150,B79),"SI",IF(AND(D79=0,E79=0,NOT(ISBLANK(D79)),NOT(ISBLANK(E79))),"SI","")))</f>
        <v/>
      </c>
    </row>
    <row r="80" spans="1:9" x14ac:dyDescent="0.3">
      <c r="A80" s="57"/>
      <c r="B80" s="57"/>
      <c r="C80" s="4"/>
      <c r="D80" s="1"/>
      <c r="E80" s="1"/>
      <c r="F80" s="24">
        <f>SUMIF(Ajustes!$G$3:$G$150,Perfumería!B80,Ajustes!$I$3:$I$150)+SUMIF(Ajustes!$G$3:$G$150,Perfumería!B80,Ajustes!$K$3:$K$150)</f>
        <v>0</v>
      </c>
      <c r="G80" s="44">
        <f t="shared" si="6"/>
        <v>0</v>
      </c>
      <c r="H80" s="50" t="str">
        <f t="shared" si="7"/>
        <v/>
      </c>
      <c r="I80" s="22" t="str">
        <f>IF(AND(D80="0",E80="0"),"SI",IF(COUNTIF(Ajustes!$G$3:$G$150,B80),"SI",IF(AND(D80=0,E80=0,NOT(ISBLANK(D80)),NOT(ISBLANK(E80))),"SI","")))</f>
        <v/>
      </c>
    </row>
    <row r="81" spans="1:9" x14ac:dyDescent="0.3">
      <c r="A81" s="57"/>
      <c r="B81" s="57"/>
      <c r="C81" s="4"/>
      <c r="D81" s="1"/>
      <c r="E81" s="1"/>
      <c r="F81" s="24">
        <f>SUMIF(Ajustes!$G$3:$G$150,Perfumería!B81,Ajustes!$I$3:$I$150)+SUMIF(Ajustes!$G$3:$G$150,Perfumería!B81,Ajustes!$K$3:$K$150)</f>
        <v>0</v>
      </c>
      <c r="G81" s="44">
        <f t="shared" si="6"/>
        <v>0</v>
      </c>
      <c r="H81" s="50" t="str">
        <f t="shared" si="7"/>
        <v/>
      </c>
      <c r="I81" s="22" t="str">
        <f>IF(AND(D81="0",E81="0"),"SI",IF(COUNTIF(Ajustes!$G$3:$G$150,B81),"SI",IF(AND(D81=0,E81=0,NOT(ISBLANK(D81)),NOT(ISBLANK(E81))),"SI","")))</f>
        <v/>
      </c>
    </row>
    <row r="82" spans="1:9" x14ac:dyDescent="0.3">
      <c r="A82" s="57"/>
      <c r="B82" s="57"/>
      <c r="C82" s="4"/>
      <c r="D82" s="1"/>
      <c r="E82" s="1"/>
      <c r="F82" s="24">
        <f>SUMIF(Ajustes!$G$3:$G$150,Perfumería!B82,Ajustes!$I$3:$I$150)+SUMIF(Ajustes!$G$3:$G$150,Perfumería!B82,Ajustes!$K$3:$K$150)</f>
        <v>0</v>
      </c>
      <c r="G82" s="44">
        <f t="shared" si="6"/>
        <v>0</v>
      </c>
      <c r="H82" s="50" t="str">
        <f t="shared" si="7"/>
        <v/>
      </c>
      <c r="I82" s="22" t="str">
        <f>IF(AND(D82="0",E82="0"),"SI",IF(COUNTIF(Ajustes!$G$3:$G$150,B82),"SI",IF(AND(D82=0,E82=0,NOT(ISBLANK(D82)),NOT(ISBLANK(E82))),"SI","")))</f>
        <v/>
      </c>
    </row>
    <row r="83" spans="1:9" x14ac:dyDescent="0.3">
      <c r="A83" s="57"/>
      <c r="B83" s="57"/>
      <c r="C83" s="7"/>
      <c r="D83" s="2"/>
      <c r="E83" s="2"/>
      <c r="F83" s="24">
        <f>SUMIF(Ajustes!$G$3:$G$150,Perfumería!B83,Ajustes!$I$3:$I$150)+SUMIF(Ajustes!$G$3:$G$150,Perfumería!B83,Ajustes!$K$3:$K$150)</f>
        <v>0</v>
      </c>
      <c r="G83" s="44">
        <f t="shared" si="6"/>
        <v>0</v>
      </c>
      <c r="H83" s="50" t="str">
        <f t="shared" si="7"/>
        <v/>
      </c>
      <c r="I83" s="22" t="str">
        <f>IF(AND(D83="0",E83="0"),"SI",IF(COUNTIF(Ajustes!$G$3:$G$150,B83),"SI",IF(AND(D83=0,E83=0,NOT(ISBLANK(D83)),NOT(ISBLANK(E83))),"SI","")))</f>
        <v/>
      </c>
    </row>
    <row r="84" spans="1:9" x14ac:dyDescent="0.3">
      <c r="A84" s="61"/>
      <c r="B84" s="61">
        <f>COUNTA(B10:B83)</f>
        <v>64</v>
      </c>
      <c r="C84" s="62">
        <f>COUNTA(C10:C83)</f>
        <v>64</v>
      </c>
      <c r="D84" s="61">
        <f>SUM(D10:D83)</f>
        <v>8600</v>
      </c>
      <c r="E84" s="61">
        <f>SUM(E10:E83)</f>
        <v>8509</v>
      </c>
      <c r="F84" s="63">
        <f>SUM(F10:F83)</f>
        <v>-958277.64</v>
      </c>
      <c r="G84" s="64">
        <f>SUM(G10:G83)</f>
        <v>-91</v>
      </c>
      <c r="H84" s="58">
        <f>COUNTIF(H10:H83,0)</f>
        <v>64</v>
      </c>
      <c r="I84" s="65">
        <f>COUNTIF(I10:I83,"Si")/64</f>
        <v>1</v>
      </c>
    </row>
  </sheetData>
  <sheetProtection algorithmName="SHA-512" hashValue="fOQ81Y1AIwcC1STxUdt5k1BVo10vP2eg/rhIaw6HHgM7GFCj+lz7Hk8cEiRA8o27leIetk6hzXn01nmiqxH+fw==" saltValue="4exCRXGBvjyCglKqd0Isfw==" spinCount="100000" sheet="1" objects="1" scenarios="1" selectLockedCells="1"/>
  <protectedRanges>
    <protectedRange sqref="C10:F10 C11:E33 F11:F83" name="Rango1"/>
  </protectedRanges>
  <mergeCells count="4">
    <mergeCell ref="C5:E7"/>
    <mergeCell ref="B2:C3"/>
    <mergeCell ref="E2:H3"/>
    <mergeCell ref="G5:I7"/>
  </mergeCells>
  <conditionalFormatting sqref="C5:F7">
    <cfRule type="dataBar" priority="11">
      <dataBar>
        <cfvo type="num" val="0"/>
        <cfvo type="num" val="1"/>
        <color rgb="FFFFFF00"/>
      </dataBar>
      <extLst>
        <ext xmlns:x14="http://schemas.microsoft.com/office/spreadsheetml/2009/9/main" uri="{B025F937-C7B1-47D3-B67F-A62EFF666E3E}">
          <x14:id>{5BEB1F52-80D8-4DDB-A096-4EA71F2651C1}</x14:id>
        </ext>
      </extLst>
    </cfRule>
  </conditionalFormatting>
  <conditionalFormatting sqref="E2:H3">
    <cfRule type="expression" dxfId="15" priority="2">
      <formula>AND($E$2&lt;&gt;"PLANILLA FINALIZADA",$E$2&lt;&gt;"")</formula>
    </cfRule>
    <cfRule type="expression" dxfId="14" priority="3">
      <formula>$E$2="PLANILLA FINALIZADA"</formula>
    </cfRule>
  </conditionalFormatting>
  <conditionalFormatting sqref="F10:F84">
    <cfRule type="cellIs" dxfId="13" priority="5" operator="lessThan">
      <formula>0</formula>
    </cfRule>
  </conditionalFormatting>
  <conditionalFormatting sqref="G5">
    <cfRule type="expression" dxfId="12" priority="1">
      <formula>(G5&lt;&gt;"")</formula>
    </cfRule>
  </conditionalFormatting>
  <dataValidations xWindow="820" yWindow="752" count="3">
    <dataValidation type="date" allowBlank="1" showInputMessage="1" showErrorMessage="1" errorTitle="ERROR" error="Debes Introducir una Fecha Valida" promptTitle="Ingresa Una Fecha Valida" prompt="Debes Ingresar una Fecha Valida" sqref="C10:C83" xr:uid="{3D0DC3B3-2863-439C-9FAF-BEEE77EF0CB8}">
      <formula1>45413</formula1>
      <formula2>47058</formula2>
    </dataValidation>
    <dataValidation type="custom" showInputMessage="1" showErrorMessage="1" errorTitle="ERROR" error="Debe Ingresar Cluster A, B o C" sqref="A74:A83" xr:uid="{3A25C4C5-C55A-4DA8-A290-6721691D264E}">
      <formula1>AND(ISTEXT(A74),LEN(A74)=1,OR(A74="A",A74="B",A74="C"))</formula1>
    </dataValidation>
    <dataValidation type="custom" showInputMessage="1" showErrorMessage="1" sqref="B74:B83" xr:uid="{19359268-A897-476E-B1A1-E53BB0124C8B}">
      <formula1>AND(A74&lt;&gt;"",ISTEXT(A74))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BEB1F52-80D8-4DDB-A096-4EA71F2651C1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C5:F7</xm:sqref>
        </x14:conditionalFormatting>
        <x14:conditionalFormatting xmlns:xm="http://schemas.microsoft.com/office/excel/2006/main">
          <x14:cfRule type="iconSet" priority="8" id="{175FC6BF-83A3-41A4-8D6C-0210A187EC7F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2"/>
              <x14:cfIcon iconSet="3Symbols" iconId="2"/>
              <x14:cfIcon iconSet="3Symbols" iconId="2"/>
            </x14:iconSet>
          </x14:cfRule>
          <xm:sqref>H10:H33</xm:sqref>
        </x14:conditionalFormatting>
        <x14:conditionalFormatting xmlns:xm="http://schemas.microsoft.com/office/excel/2006/main">
          <x14:cfRule type="iconSet" priority="7" id="{BA51B8AF-7934-4D36-B198-156534CFC055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2"/>
              <x14:cfIcon iconSet="3Symbols" iconId="2"/>
              <x14:cfIcon iconSet="3Symbols" iconId="2"/>
            </x14:iconSet>
          </x14:cfRule>
          <xm:sqref>H34:H53</xm:sqref>
        </x14:conditionalFormatting>
        <x14:conditionalFormatting xmlns:xm="http://schemas.microsoft.com/office/excel/2006/main">
          <x14:cfRule type="iconSet" priority="6" id="{0685C799-D771-49C9-BB94-8E42D4D4DBE7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2"/>
              <x14:cfIcon iconSet="3Symbols" iconId="2"/>
              <x14:cfIcon iconSet="3Symbols" iconId="2"/>
            </x14:iconSet>
          </x14:cfRule>
          <xm:sqref>H54:H83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D956-124A-4A02-A80C-BC2034996DCF}">
  <dimension ref="A2:I124"/>
  <sheetViews>
    <sheetView showGridLines="0" topLeftCell="A3" zoomScale="130" zoomScaleNormal="130" workbookViewId="0">
      <selection activeCell="C12" sqref="C12"/>
    </sheetView>
  </sheetViews>
  <sheetFormatPr baseColWidth="10" defaultColWidth="10.81640625" defaultRowHeight="15" x14ac:dyDescent="0.3"/>
  <cols>
    <col min="1" max="1" width="11.26953125" style="51" customWidth="1"/>
    <col min="2" max="2" width="21.453125" style="41" bestFit="1" customWidth="1"/>
    <col min="3" max="3" width="19.54296875" style="52" bestFit="1" customWidth="1"/>
    <col min="4" max="4" width="7.1796875" style="51" bestFit="1" customWidth="1"/>
    <col min="5" max="5" width="16.1796875" style="51" bestFit="1" customWidth="1"/>
    <col min="6" max="6" width="13.7265625" style="51" bestFit="1" customWidth="1"/>
    <col min="7" max="7" width="13.54296875" style="51" bestFit="1" customWidth="1"/>
    <col min="8" max="8" width="7.453125" style="51" customWidth="1"/>
    <col min="9" max="9" width="10.54296875" style="51" bestFit="1" customWidth="1"/>
    <col min="10" max="11" width="4.54296875" style="51" customWidth="1"/>
    <col min="12" max="16384" width="10.81640625" style="51"/>
  </cols>
  <sheetData>
    <row r="2" spans="1:9" ht="21" customHeight="1" x14ac:dyDescent="0.3">
      <c r="B2" s="124" t="s">
        <v>233</v>
      </c>
      <c r="C2" s="125"/>
      <c r="E2" s="128" t="str">
        <f ca="1">IF('CONSOLIDADO - ALCANCE '!Z5&gt;='CONSOLIDADO - ALCANCE '!M6,"PLANILLA FINALIZADA",IF('CONSOLIDADO - ALCANCE '!M3&gt;0.09,CONCATENATE("Planilla Atrasada un ",TEXT('CONSOLIDADO - ALCANCE '!M3,"0%")),""))</f>
        <v/>
      </c>
      <c r="F2" s="128"/>
      <c r="G2" s="128"/>
      <c r="H2" s="128"/>
    </row>
    <row r="3" spans="1:9" ht="18.649999999999999" customHeight="1" x14ac:dyDescent="0.3">
      <c r="B3" s="126"/>
      <c r="C3" s="127"/>
      <c r="E3" s="128"/>
      <c r="F3" s="128"/>
      <c r="G3" s="128"/>
      <c r="H3" s="128"/>
    </row>
    <row r="4" spans="1:9" ht="15.5" thickBot="1" x14ac:dyDescent="0.35"/>
    <row r="5" spans="1:9" x14ac:dyDescent="0.3">
      <c r="C5" s="115">
        <f>COUNTIF(I10:I123,"Si")/B124</f>
        <v>0.99038461538461542</v>
      </c>
      <c r="D5" s="116"/>
      <c r="E5" s="117"/>
      <c r="F5" s="20"/>
      <c r="G5" s="129" t="str">
        <f>IF('CONSOLIDADO - ALCANCE '!D15&lt;&gt;"","Nuevo Aviso en la Primer Hoja","")</f>
        <v/>
      </c>
      <c r="H5" s="129"/>
      <c r="I5" s="129"/>
    </row>
    <row r="6" spans="1:9" x14ac:dyDescent="0.3">
      <c r="C6" s="118"/>
      <c r="D6" s="119"/>
      <c r="E6" s="120"/>
      <c r="F6" s="20"/>
      <c r="G6" s="129"/>
      <c r="H6" s="129"/>
      <c r="I6" s="129"/>
    </row>
    <row r="7" spans="1:9" ht="15.5" thickBot="1" x14ac:dyDescent="0.35">
      <c r="C7" s="121"/>
      <c r="D7" s="122"/>
      <c r="E7" s="123"/>
      <c r="F7" s="20"/>
      <c r="G7" s="129"/>
      <c r="H7" s="129"/>
      <c r="I7" s="129"/>
    </row>
    <row r="9" spans="1:9" x14ac:dyDescent="0.3">
      <c r="A9" s="58" t="s">
        <v>26</v>
      </c>
      <c r="B9" s="58" t="s">
        <v>27</v>
      </c>
      <c r="C9" s="59" t="s">
        <v>28</v>
      </c>
      <c r="D9" s="58" t="s">
        <v>29</v>
      </c>
      <c r="E9" s="58" t="s">
        <v>30</v>
      </c>
      <c r="F9" s="58" t="s">
        <v>234</v>
      </c>
      <c r="G9" s="60" t="s">
        <v>32</v>
      </c>
      <c r="H9" s="60" t="s">
        <v>33</v>
      </c>
      <c r="I9" s="60" t="s">
        <v>34</v>
      </c>
    </row>
    <row r="10" spans="1:9" x14ac:dyDescent="0.3">
      <c r="A10" s="43" t="s">
        <v>35</v>
      </c>
      <c r="B10" s="43" t="s">
        <v>36</v>
      </c>
      <c r="C10" s="8">
        <v>45945</v>
      </c>
      <c r="D10" s="3">
        <v>4</v>
      </c>
      <c r="E10" s="3">
        <v>4</v>
      </c>
      <c r="F10" s="25">
        <f>SUMIF(Ajustes!$M$3:$M$150,Accesorios!B10,Ajustes!$O$3:$O$150)+SUMIF(Ajustes!$M$3:$M$150,Accesorios!B10,Ajustes!$Q$3:$Q$150)</f>
        <v>0</v>
      </c>
      <c r="G10" s="44">
        <f>E10-D10</f>
        <v>0</v>
      </c>
      <c r="H10" s="45">
        <f>IF(C10&lt;&gt;"",0,"")</f>
        <v>0</v>
      </c>
      <c r="I10" s="22" t="str">
        <f>IF(AND(D10="0",E10="0"),"SI",IF(COUNTIF(Ajustes!$M$3:$M$150,B10),"SI",IF(AND(D10=0,E10=0,NOT(ISBLANK(D10)),NOT(ISBLANK(E10))),"SI","")))</f>
        <v>SI</v>
      </c>
    </row>
    <row r="11" spans="1:9" x14ac:dyDescent="0.3">
      <c r="A11" s="43" t="s">
        <v>35</v>
      </c>
      <c r="B11" s="43" t="s">
        <v>37</v>
      </c>
      <c r="C11" s="8">
        <v>45915</v>
      </c>
      <c r="D11" s="3">
        <v>298</v>
      </c>
      <c r="E11" s="3">
        <v>298</v>
      </c>
      <c r="F11" s="25">
        <f>SUMIF(Ajustes!$M$3:$M$150,Accesorios!B11,Ajustes!$O$3:$O$150)+SUMIF(Ajustes!$M$3:$M$150,Accesorios!B11,Ajustes!$Q$3:$Q$150)</f>
        <v>0</v>
      </c>
      <c r="G11" s="44">
        <f t="shared" ref="G11:G37" si="0">E11-D11</f>
        <v>0</v>
      </c>
      <c r="H11" s="45">
        <f t="shared" ref="H11:H37" si="1">IF(C11&lt;&gt;"",0,"")</f>
        <v>0</v>
      </c>
      <c r="I11" s="22" t="str">
        <f>IF(AND(D11="0",E11="0"),"SI",IF(COUNTIF(Ajustes!$M$3:$M$150,B11),"SI",IF(AND(D11=0,E11=0,NOT(ISBLANK(D11)),NOT(ISBLANK(E11))),"SI","")))</f>
        <v>SI</v>
      </c>
    </row>
    <row r="12" spans="1:9" x14ac:dyDescent="0.3">
      <c r="A12" s="43" t="s">
        <v>35</v>
      </c>
      <c r="B12" s="43" t="s">
        <v>73</v>
      </c>
      <c r="C12" s="8">
        <v>45941</v>
      </c>
      <c r="D12" s="3">
        <v>0</v>
      </c>
      <c r="E12" s="3">
        <v>0</v>
      </c>
      <c r="F12" s="25">
        <f>SUMIF(Ajustes!$M$3:$M$150,Accesorios!B12,Ajustes!$O$3:$O$150)+SUMIF(Ajustes!$M$3:$M$150,Accesorios!B12,Ajustes!$Q$3:$Q$150)</f>
        <v>0</v>
      </c>
      <c r="G12" s="44">
        <f t="shared" si="0"/>
        <v>0</v>
      </c>
      <c r="H12" s="45">
        <f t="shared" si="1"/>
        <v>0</v>
      </c>
      <c r="I12" s="22" t="str">
        <f>IF(AND(D12="0",E12="0"),"SI",IF(COUNTIF(Ajustes!$M$3:$M$150,B12),"SI",IF(AND(D12=0,E12=0,NOT(ISBLANK(D12)),NOT(ISBLANK(E12))),"SI","")))</f>
        <v>SI</v>
      </c>
    </row>
    <row r="13" spans="1:9" x14ac:dyDescent="0.3">
      <c r="A13" s="43" t="s">
        <v>35</v>
      </c>
      <c r="B13" s="43" t="s">
        <v>175</v>
      </c>
      <c r="C13" s="8">
        <v>45945</v>
      </c>
      <c r="D13" s="3">
        <v>295</v>
      </c>
      <c r="E13" s="3">
        <v>260</v>
      </c>
      <c r="F13" s="25">
        <f>SUMIF(Ajustes!$M$3:$M$150,Accesorios!B13,Ajustes!$O$3:$O$150)+SUMIF(Ajustes!$M$3:$M$150,Accesorios!B13,Ajustes!$Q$3:$Q$150)</f>
        <v>-116600</v>
      </c>
      <c r="G13" s="44">
        <f t="shared" si="0"/>
        <v>-35</v>
      </c>
      <c r="H13" s="45">
        <f t="shared" si="1"/>
        <v>0</v>
      </c>
      <c r="I13" s="22" t="str">
        <f>IF(AND(D13="0",E13="0"),"SI",IF(COUNTIF(Ajustes!$M$3:$M$150,B13),"SI",IF(AND(D13=0,E13=0,NOT(ISBLANK(D13)),NOT(ISBLANK(E13))),"SI","")))</f>
        <v>SI</v>
      </c>
    </row>
    <row r="14" spans="1:9" x14ac:dyDescent="0.3">
      <c r="A14" s="43" t="s">
        <v>35</v>
      </c>
      <c r="B14" s="43" t="s">
        <v>219</v>
      </c>
      <c r="C14" s="8">
        <v>45941</v>
      </c>
      <c r="D14" s="3">
        <v>0</v>
      </c>
      <c r="E14" s="3">
        <v>0</v>
      </c>
      <c r="F14" s="25">
        <f>SUMIF(Ajustes!$M$3:$M$150,Accesorios!B14,Ajustes!$O$3:$O$150)+SUMIF(Ajustes!$M$3:$M$150,Accesorios!B14,Ajustes!$Q$3:$Q$150)</f>
        <v>0</v>
      </c>
      <c r="G14" s="44">
        <f t="shared" si="0"/>
        <v>0</v>
      </c>
      <c r="H14" s="45">
        <f t="shared" si="1"/>
        <v>0</v>
      </c>
      <c r="I14" s="22" t="str">
        <f>IF(AND(D14="0",E14="0"),"SI",IF(COUNTIF(Ajustes!$M$3:$M$150,B14),"SI",IF(AND(D14=0,E14=0,NOT(ISBLANK(D14)),NOT(ISBLANK(E14))),"SI","")))</f>
        <v>SI</v>
      </c>
    </row>
    <row r="15" spans="1:9" x14ac:dyDescent="0.3">
      <c r="A15" s="43" t="s">
        <v>35</v>
      </c>
      <c r="B15" s="43" t="s">
        <v>42</v>
      </c>
      <c r="C15" s="8">
        <v>45945</v>
      </c>
      <c r="D15" s="3">
        <v>174</v>
      </c>
      <c r="E15" s="3">
        <v>171</v>
      </c>
      <c r="F15" s="25">
        <f>SUMIF(Ajustes!$M$3:$M$150,Accesorios!B15,Ajustes!$O$3:$O$150)+SUMIF(Ajustes!$M$3:$M$150,Accesorios!B15,Ajustes!$Q$3:$Q$150)</f>
        <v>-55897.700000000004</v>
      </c>
      <c r="G15" s="44">
        <f t="shared" si="0"/>
        <v>-3</v>
      </c>
      <c r="H15" s="45">
        <f t="shared" si="1"/>
        <v>0</v>
      </c>
      <c r="I15" s="22" t="str">
        <f>IF(AND(D15="0",E15="0"),"SI",IF(COUNTIF(Ajustes!$M$3:$M$150,B15),"SI",IF(AND(D15=0,E15=0,NOT(ISBLANK(D15)),NOT(ISBLANK(E15))),"SI","")))</f>
        <v>SI</v>
      </c>
    </row>
    <row r="16" spans="1:9" x14ac:dyDescent="0.3">
      <c r="A16" s="43" t="s">
        <v>35</v>
      </c>
      <c r="B16" s="43" t="s">
        <v>135</v>
      </c>
      <c r="C16" s="8">
        <v>45945</v>
      </c>
      <c r="D16" s="3">
        <v>18</v>
      </c>
      <c r="E16" s="3">
        <v>18</v>
      </c>
      <c r="F16" s="25">
        <f>SUMIF(Ajustes!$M$3:$M$150,Accesorios!B16,Ajustes!$O$3:$O$150)+SUMIF(Ajustes!$M$3:$M$150,Accesorios!B16,Ajustes!$Q$3:$Q$150)</f>
        <v>0</v>
      </c>
      <c r="G16" s="44">
        <f t="shared" si="0"/>
        <v>0</v>
      </c>
      <c r="H16" s="45">
        <f t="shared" si="1"/>
        <v>0</v>
      </c>
      <c r="I16" s="22" t="str">
        <f>IF(AND(D16="0",E16="0"),"SI",IF(COUNTIF(Ajustes!$M$3:$M$150,B16),"SI",IF(AND(D16=0,E16=0,NOT(ISBLANK(D16)),NOT(ISBLANK(E16))),"SI","")))</f>
        <v/>
      </c>
    </row>
    <row r="17" spans="1:9" x14ac:dyDescent="0.3">
      <c r="A17" s="43" t="s">
        <v>35</v>
      </c>
      <c r="B17" s="43" t="s">
        <v>235</v>
      </c>
      <c r="C17" s="8">
        <v>45915</v>
      </c>
      <c r="D17" s="3">
        <v>114</v>
      </c>
      <c r="E17" s="3">
        <v>116</v>
      </c>
      <c r="F17" s="25">
        <f>SUMIF(Ajustes!$M$3:$M$150,Accesorios!B17,Ajustes!$O$3:$O$150)+SUMIF(Ajustes!$M$3:$M$150,Accesorios!B17,Ajustes!$Q$3:$Q$150)</f>
        <v>77700.08</v>
      </c>
      <c r="G17" s="44">
        <f t="shared" si="0"/>
        <v>2</v>
      </c>
      <c r="H17" s="45">
        <f t="shared" si="1"/>
        <v>0</v>
      </c>
      <c r="I17" s="22" t="str">
        <f>IF(AND(D17="0",E17="0"),"SI",IF(COUNTIF(Ajustes!$M$3:$M$150,B17),"SI",IF(AND(D17=0,E17=0,NOT(ISBLANK(D17)),NOT(ISBLANK(E17))),"SI","")))</f>
        <v>SI</v>
      </c>
    </row>
    <row r="18" spans="1:9" x14ac:dyDescent="0.3">
      <c r="A18" s="43" t="s">
        <v>35</v>
      </c>
      <c r="B18" s="43" t="s">
        <v>91</v>
      </c>
      <c r="C18" s="8">
        <v>45941</v>
      </c>
      <c r="D18" s="3">
        <v>0</v>
      </c>
      <c r="E18" s="3">
        <v>0</v>
      </c>
      <c r="F18" s="25">
        <f>SUMIF(Ajustes!$M$3:$M$150,Accesorios!B18,Ajustes!$O$3:$O$150)+SUMIF(Ajustes!$M$3:$M$150,Accesorios!B18,Ajustes!$Q$3:$Q$150)</f>
        <v>0</v>
      </c>
      <c r="G18" s="44">
        <f t="shared" si="0"/>
        <v>0</v>
      </c>
      <c r="H18" s="45">
        <f t="shared" si="1"/>
        <v>0</v>
      </c>
      <c r="I18" s="22" t="str">
        <f>IF(AND(D18="0",E18="0"),"SI",IF(COUNTIF(Ajustes!$M$3:$M$150,B18),"SI",IF(AND(D18=0,E18=0,NOT(ISBLANK(D18)),NOT(ISBLANK(E18))),"SI","")))</f>
        <v>SI</v>
      </c>
    </row>
    <row r="19" spans="1:9" x14ac:dyDescent="0.3">
      <c r="A19" s="43" t="s">
        <v>35</v>
      </c>
      <c r="B19" s="43" t="s">
        <v>44</v>
      </c>
      <c r="C19" s="8">
        <v>45941</v>
      </c>
      <c r="D19" s="3">
        <v>0</v>
      </c>
      <c r="E19" s="3">
        <v>0</v>
      </c>
      <c r="F19" s="25">
        <f>SUMIF(Ajustes!$M$3:$M$150,Accesorios!B19,Ajustes!$O$3:$O$150)+SUMIF(Ajustes!$M$3:$M$150,Accesorios!B19,Ajustes!$Q$3:$Q$150)</f>
        <v>0</v>
      </c>
      <c r="G19" s="44">
        <f t="shared" si="0"/>
        <v>0</v>
      </c>
      <c r="H19" s="45">
        <f t="shared" si="1"/>
        <v>0</v>
      </c>
      <c r="I19" s="22" t="str">
        <f>IF(AND(D19="0",E19="0"),"SI",IF(COUNTIF(Ajustes!$M$3:$M$150,B19),"SI",IF(AND(D19=0,E19=0,NOT(ISBLANK(D19)),NOT(ISBLANK(E19))),"SI","")))</f>
        <v>SI</v>
      </c>
    </row>
    <row r="20" spans="1:9" x14ac:dyDescent="0.3">
      <c r="A20" s="43" t="s">
        <v>35</v>
      </c>
      <c r="B20" s="43" t="s">
        <v>199</v>
      </c>
      <c r="C20" s="8">
        <v>45944</v>
      </c>
      <c r="D20" s="3">
        <v>53</v>
      </c>
      <c r="E20" s="3">
        <v>53</v>
      </c>
      <c r="F20" s="25">
        <f>SUMIF(Ajustes!$M$3:$M$150,Accesorios!B20,Ajustes!$O$3:$O$150)+SUMIF(Ajustes!$M$3:$M$150,Accesorios!B20,Ajustes!$Q$3:$Q$150)</f>
        <v>0</v>
      </c>
      <c r="G20" s="44">
        <f t="shared" si="0"/>
        <v>0</v>
      </c>
      <c r="H20" s="45">
        <f t="shared" si="1"/>
        <v>0</v>
      </c>
      <c r="I20" s="22" t="str">
        <f>IF(AND(D20="0",E20="0"),"SI",IF(COUNTIF(Ajustes!$M$3:$M$150,B20),"SI",IF(AND(D20=0,E20=0,NOT(ISBLANK(D20)),NOT(ISBLANK(E20))),"SI","")))</f>
        <v>SI</v>
      </c>
    </row>
    <row r="21" spans="1:9" x14ac:dyDescent="0.3">
      <c r="A21" s="43" t="s">
        <v>35</v>
      </c>
      <c r="B21" s="43" t="s">
        <v>236</v>
      </c>
      <c r="C21" s="8">
        <v>45944</v>
      </c>
      <c r="D21" s="3">
        <v>3</v>
      </c>
      <c r="E21" s="3">
        <v>7</v>
      </c>
      <c r="F21" s="25">
        <f>SUMIF(Ajustes!$M$3:$M$150,Accesorios!B21,Ajustes!$O$3:$O$150)+SUMIF(Ajustes!$M$3:$M$150,Accesorios!B21,Ajustes!$Q$3:$Q$150)</f>
        <v>2926.08</v>
      </c>
      <c r="G21" s="44">
        <f t="shared" si="0"/>
        <v>4</v>
      </c>
      <c r="H21" s="45">
        <f t="shared" si="1"/>
        <v>0</v>
      </c>
      <c r="I21" s="22" t="str">
        <f>IF(AND(D21="0",E21="0"),"SI",IF(COUNTIF(Ajustes!$M$3:$M$150,B21),"SI",IF(AND(D21=0,E21=0,NOT(ISBLANK(D21)),NOT(ISBLANK(E21))),"SI","")))</f>
        <v>SI</v>
      </c>
    </row>
    <row r="22" spans="1:9" x14ac:dyDescent="0.3">
      <c r="A22" s="43" t="s">
        <v>35</v>
      </c>
      <c r="B22" s="43" t="s">
        <v>144</v>
      </c>
      <c r="C22" s="8">
        <v>45944</v>
      </c>
      <c r="D22" s="3">
        <v>0</v>
      </c>
      <c r="E22" s="3">
        <v>0</v>
      </c>
      <c r="F22" s="25">
        <f>SUMIF(Ajustes!$M$3:$M$150,Accesorios!B22,Ajustes!$O$3:$O$150)+SUMIF(Ajustes!$M$3:$M$150,Accesorios!B22,Ajustes!$Q$3:$Q$150)</f>
        <v>0</v>
      </c>
      <c r="G22" s="44">
        <f t="shared" si="0"/>
        <v>0</v>
      </c>
      <c r="H22" s="45">
        <f t="shared" si="1"/>
        <v>0</v>
      </c>
      <c r="I22" s="22" t="str">
        <f>IF(AND(D22="0",E22="0"),"SI",IF(COUNTIF(Ajustes!$M$3:$M$150,B22),"SI",IF(AND(D22=0,E22=0,NOT(ISBLANK(D22)),NOT(ISBLANK(E22))),"SI","")))</f>
        <v>SI</v>
      </c>
    </row>
    <row r="23" spans="1:9" x14ac:dyDescent="0.3">
      <c r="A23" s="43" t="s">
        <v>35</v>
      </c>
      <c r="B23" s="43" t="s">
        <v>46</v>
      </c>
      <c r="C23" s="8">
        <v>45944</v>
      </c>
      <c r="D23" s="3">
        <v>8</v>
      </c>
      <c r="E23" s="3">
        <v>8</v>
      </c>
      <c r="F23" s="25">
        <f>SUMIF(Ajustes!$M$3:$M$150,Accesorios!B23,Ajustes!$O$3:$O$150)+SUMIF(Ajustes!$M$3:$M$150,Accesorios!B23,Ajustes!$Q$3:$Q$150)</f>
        <v>0</v>
      </c>
      <c r="G23" s="44">
        <f t="shared" si="0"/>
        <v>0</v>
      </c>
      <c r="H23" s="45">
        <f t="shared" si="1"/>
        <v>0</v>
      </c>
      <c r="I23" s="22" t="str">
        <f>IF(AND(D23="0",E23="0"),"SI",IF(COUNTIF(Ajustes!$M$3:$M$150,B23),"SI",IF(AND(D23=0,E23=0,NOT(ISBLANK(D23)),NOT(ISBLANK(E23))),"SI","")))</f>
        <v>SI</v>
      </c>
    </row>
    <row r="24" spans="1:9" x14ac:dyDescent="0.3">
      <c r="A24" s="43" t="s">
        <v>35</v>
      </c>
      <c r="B24" s="43" t="s">
        <v>47</v>
      </c>
      <c r="C24" s="8">
        <v>45941</v>
      </c>
      <c r="D24" s="3">
        <v>0</v>
      </c>
      <c r="E24" s="3">
        <v>0</v>
      </c>
      <c r="F24" s="25">
        <f>SUMIF(Ajustes!$M$3:$M$150,Accesorios!B24,Ajustes!$O$3:$O$150)+SUMIF(Ajustes!$M$3:$M$150,Accesorios!B24,Ajustes!$Q$3:$Q$150)</f>
        <v>0</v>
      </c>
      <c r="G24" s="44">
        <f t="shared" si="0"/>
        <v>0</v>
      </c>
      <c r="H24" s="45">
        <f t="shared" si="1"/>
        <v>0</v>
      </c>
      <c r="I24" s="22" t="str">
        <f>IF(AND(D24="0",E24="0"),"SI",IF(COUNTIF(Ajustes!$M$3:$M$150,B24),"SI",IF(AND(D24=0,E24=0,NOT(ISBLANK(D24)),NOT(ISBLANK(E24))),"SI","")))</f>
        <v>SI</v>
      </c>
    </row>
    <row r="25" spans="1:9" x14ac:dyDescent="0.3">
      <c r="A25" s="43" t="s">
        <v>35</v>
      </c>
      <c r="B25" s="43" t="s">
        <v>147</v>
      </c>
      <c r="C25" s="8">
        <v>45941</v>
      </c>
      <c r="D25" s="3">
        <v>0</v>
      </c>
      <c r="E25" s="3">
        <v>0</v>
      </c>
      <c r="F25" s="25">
        <f>SUMIF(Ajustes!$M$3:$M$150,Accesorios!B25,Ajustes!$O$3:$O$150)+SUMIF(Ajustes!$M$3:$M$150,Accesorios!B25,Ajustes!$Q$3:$Q$150)</f>
        <v>0</v>
      </c>
      <c r="G25" s="44">
        <f t="shared" si="0"/>
        <v>0</v>
      </c>
      <c r="H25" s="45">
        <f t="shared" si="1"/>
        <v>0</v>
      </c>
      <c r="I25" s="22" t="str">
        <f>IF(AND(D25="0",E25="0"),"SI",IF(COUNTIF(Ajustes!$M$3:$M$150,B25),"SI",IF(AND(D25=0,E25=0,NOT(ISBLANK(D25)),NOT(ISBLANK(E25))),"SI","")))</f>
        <v>SI</v>
      </c>
    </row>
    <row r="26" spans="1:9" x14ac:dyDescent="0.3">
      <c r="A26" s="43" t="s">
        <v>35</v>
      </c>
      <c r="B26" s="43" t="s">
        <v>237</v>
      </c>
      <c r="C26" s="8">
        <v>45941</v>
      </c>
      <c r="D26" s="3">
        <v>0</v>
      </c>
      <c r="E26" s="3">
        <v>0</v>
      </c>
      <c r="F26" s="25">
        <f>SUMIF(Ajustes!$M$3:$M$150,Accesorios!B26,Ajustes!$O$3:$O$150)+SUMIF(Ajustes!$M$3:$M$150,Accesorios!B26,Ajustes!$Q$3:$Q$150)</f>
        <v>0</v>
      </c>
      <c r="G26" s="44">
        <f t="shared" si="0"/>
        <v>0</v>
      </c>
      <c r="H26" s="45">
        <f t="shared" si="1"/>
        <v>0</v>
      </c>
      <c r="I26" s="22" t="str">
        <f>IF(AND(D26="0",E26="0"),"SI",IF(COUNTIF(Ajustes!$M$3:$M$150,B26),"SI",IF(AND(D26=0,E26=0,NOT(ISBLANK(D26)),NOT(ISBLANK(E26))),"SI","")))</f>
        <v>SI</v>
      </c>
    </row>
    <row r="27" spans="1:9" x14ac:dyDescent="0.3">
      <c r="A27" s="43" t="s">
        <v>35</v>
      </c>
      <c r="B27" s="43" t="s">
        <v>238</v>
      </c>
      <c r="C27" s="8">
        <v>45944</v>
      </c>
      <c r="D27" s="3">
        <v>58</v>
      </c>
      <c r="E27" s="3">
        <v>46</v>
      </c>
      <c r="F27" s="25">
        <f>SUMIF(Ajustes!$M$3:$M$150,Accesorios!B27,Ajustes!$O$3:$O$150)+SUMIF(Ajustes!$M$3:$M$150,Accesorios!B27,Ajustes!$Q$3:$Q$150)</f>
        <v>-65403.869999999995</v>
      </c>
      <c r="G27" s="44">
        <f t="shared" si="0"/>
        <v>-12</v>
      </c>
      <c r="H27" s="45">
        <f t="shared" si="1"/>
        <v>0</v>
      </c>
      <c r="I27" s="22" t="str">
        <f>IF(AND(D27="0",E27="0"),"SI",IF(COUNTIF(Ajustes!$M$3:$M$150,B27),"SI",IF(AND(D27=0,E27=0,NOT(ISBLANK(D27)),NOT(ISBLANK(E27))),"SI","")))</f>
        <v>SI</v>
      </c>
    </row>
    <row r="28" spans="1:9" x14ac:dyDescent="0.3">
      <c r="A28" s="43" t="s">
        <v>35</v>
      </c>
      <c r="B28" s="43" t="s">
        <v>148</v>
      </c>
      <c r="C28" s="8">
        <v>45941</v>
      </c>
      <c r="D28" s="3">
        <v>0</v>
      </c>
      <c r="E28" s="3">
        <v>0</v>
      </c>
      <c r="F28" s="25">
        <f>SUMIF(Ajustes!$M$3:$M$150,Accesorios!B28,Ajustes!$O$3:$O$150)+SUMIF(Ajustes!$M$3:$M$150,Accesorios!B28,Ajustes!$Q$3:$Q$150)</f>
        <v>0</v>
      </c>
      <c r="G28" s="44">
        <f t="shared" si="0"/>
        <v>0</v>
      </c>
      <c r="H28" s="45">
        <f t="shared" si="1"/>
        <v>0</v>
      </c>
      <c r="I28" s="22" t="str">
        <f>IF(AND(D28="0",E28="0"),"SI",IF(COUNTIF(Ajustes!$M$3:$M$150,B28),"SI",IF(AND(D28=0,E28=0,NOT(ISBLANK(D28)),NOT(ISBLANK(E28))),"SI","")))</f>
        <v>SI</v>
      </c>
    </row>
    <row r="29" spans="1:9" x14ac:dyDescent="0.3">
      <c r="A29" s="43" t="s">
        <v>35</v>
      </c>
      <c r="B29" s="43" t="s">
        <v>55</v>
      </c>
      <c r="C29" s="8">
        <v>45941</v>
      </c>
      <c r="D29" s="3">
        <v>0</v>
      </c>
      <c r="E29" s="3">
        <v>0</v>
      </c>
      <c r="F29" s="25">
        <f>SUMIF(Ajustes!$M$3:$M$150,Accesorios!B29,Ajustes!$O$3:$O$150)+SUMIF(Ajustes!$M$3:$M$150,Accesorios!B29,Ajustes!$Q$3:$Q$150)</f>
        <v>0</v>
      </c>
      <c r="G29" s="44">
        <f t="shared" si="0"/>
        <v>0</v>
      </c>
      <c r="H29" s="45">
        <f t="shared" si="1"/>
        <v>0</v>
      </c>
      <c r="I29" s="22" t="str">
        <f>IF(AND(D29="0",E29="0"),"SI",IF(COUNTIF(Ajustes!$M$3:$M$150,B29),"SI",IF(AND(D29=0,E29=0,NOT(ISBLANK(D29)),NOT(ISBLANK(E29))),"SI","")))</f>
        <v>SI</v>
      </c>
    </row>
    <row r="30" spans="1:9" x14ac:dyDescent="0.3">
      <c r="A30" s="43" t="s">
        <v>35</v>
      </c>
      <c r="B30" s="43" t="s">
        <v>57</v>
      </c>
      <c r="C30" s="8">
        <v>45941</v>
      </c>
      <c r="D30" s="3">
        <v>0</v>
      </c>
      <c r="E30" s="3">
        <v>0</v>
      </c>
      <c r="F30" s="25">
        <f>SUMIF(Ajustes!$M$3:$M$150,Accesorios!B30,Ajustes!$O$3:$O$150)+SUMIF(Ajustes!$M$3:$M$150,Accesorios!B30,Ajustes!$Q$3:$Q$150)</f>
        <v>0</v>
      </c>
      <c r="G30" s="44">
        <f t="shared" si="0"/>
        <v>0</v>
      </c>
      <c r="H30" s="45">
        <f t="shared" si="1"/>
        <v>0</v>
      </c>
      <c r="I30" s="22" t="str">
        <f>IF(AND(D30="0",E30="0"),"SI",IF(COUNTIF(Ajustes!$M$3:$M$150,B30),"SI",IF(AND(D30=0,E30=0,NOT(ISBLANK(D30)),NOT(ISBLANK(E30))),"SI","")))</f>
        <v>SI</v>
      </c>
    </row>
    <row r="31" spans="1:9" x14ac:dyDescent="0.3">
      <c r="A31" s="43" t="s">
        <v>35</v>
      </c>
      <c r="B31" s="43" t="s">
        <v>239</v>
      </c>
      <c r="C31" s="8">
        <v>45944</v>
      </c>
      <c r="D31" s="3">
        <v>59</v>
      </c>
      <c r="E31" s="3">
        <v>91</v>
      </c>
      <c r="F31" s="25">
        <f>SUMIF(Ajustes!$M$3:$M$150,Accesorios!B31,Ajustes!$O$3:$O$150)+SUMIF(Ajustes!$M$3:$M$150,Accesorios!B31,Ajustes!$Q$3:$Q$150)</f>
        <v>87432.61</v>
      </c>
      <c r="G31" s="44">
        <f t="shared" si="0"/>
        <v>32</v>
      </c>
      <c r="H31" s="45">
        <f t="shared" si="1"/>
        <v>0</v>
      </c>
      <c r="I31" s="22" t="str">
        <f>IF(AND(D31="0",E31="0"),"SI",IF(COUNTIF(Ajustes!$M$3:$M$150,B31),"SI",IF(AND(D31=0,E31=0,NOT(ISBLANK(D31)),NOT(ISBLANK(E31))),"SI","")))</f>
        <v>SI</v>
      </c>
    </row>
    <row r="32" spans="1:9" x14ac:dyDescent="0.3">
      <c r="A32" s="43" t="s">
        <v>35</v>
      </c>
      <c r="B32" s="43" t="s">
        <v>209</v>
      </c>
      <c r="C32" s="8">
        <v>45895</v>
      </c>
      <c r="D32" s="3">
        <v>64</v>
      </c>
      <c r="E32" s="3">
        <v>56</v>
      </c>
      <c r="F32" s="25">
        <f>SUMIF(Ajustes!$M$3:$M$150,Accesorios!B32,Ajustes!$O$3:$O$150)+SUMIF(Ajustes!$M$3:$M$150,Accesorios!B32,Ajustes!$Q$3:$Q$150)</f>
        <v>-19087.990000000002</v>
      </c>
      <c r="G32" s="44">
        <f t="shared" si="0"/>
        <v>-8</v>
      </c>
      <c r="H32" s="45">
        <f t="shared" si="1"/>
        <v>0</v>
      </c>
      <c r="I32" s="22" t="str">
        <f>IF(AND(D32="0",E32="0"),"SI",IF(COUNTIF(Ajustes!$M$3:$M$150,B32),"SI",IF(AND(D32=0,E32=0,NOT(ISBLANK(D32)),NOT(ISBLANK(E32))),"SI","")))</f>
        <v>SI</v>
      </c>
    </row>
    <row r="33" spans="1:9" x14ac:dyDescent="0.3">
      <c r="A33" s="43" t="s">
        <v>35</v>
      </c>
      <c r="B33" s="43" t="s">
        <v>111</v>
      </c>
      <c r="C33" s="8">
        <v>45941</v>
      </c>
      <c r="D33" s="3">
        <v>0</v>
      </c>
      <c r="E33" s="3">
        <v>0</v>
      </c>
      <c r="F33" s="25">
        <f>SUMIF(Ajustes!$M$3:$M$150,Accesorios!B33,Ajustes!$O$3:$O$150)+SUMIF(Ajustes!$M$3:$M$150,Accesorios!B33,Ajustes!$Q$3:$Q$150)</f>
        <v>0</v>
      </c>
      <c r="G33" s="44">
        <f t="shared" si="0"/>
        <v>0</v>
      </c>
      <c r="H33" s="45">
        <f t="shared" si="1"/>
        <v>0</v>
      </c>
      <c r="I33" s="22" t="str">
        <f>IF(AND(D33="0",E33="0"),"SI",IF(COUNTIF(Ajustes!$M$3:$M$150,B33),"SI",IF(AND(D33=0,E33=0,NOT(ISBLANK(D33)),NOT(ISBLANK(E33))),"SI","")))</f>
        <v>SI</v>
      </c>
    </row>
    <row r="34" spans="1:9" x14ac:dyDescent="0.3">
      <c r="A34" s="43" t="s">
        <v>35</v>
      </c>
      <c r="B34" s="43" t="s">
        <v>61</v>
      </c>
      <c r="C34" s="8">
        <v>45941</v>
      </c>
      <c r="D34" s="3">
        <v>0</v>
      </c>
      <c r="E34" s="3">
        <v>0</v>
      </c>
      <c r="F34" s="25">
        <f>SUMIF(Ajustes!$M$3:$M$150,Accesorios!B34,Ajustes!$O$3:$O$150)+SUMIF(Ajustes!$M$3:$M$150,Accesorios!B34,Ajustes!$Q$3:$Q$150)</f>
        <v>0</v>
      </c>
      <c r="G34" s="44">
        <f t="shared" si="0"/>
        <v>0</v>
      </c>
      <c r="H34" s="45">
        <f t="shared" si="1"/>
        <v>0</v>
      </c>
      <c r="I34" s="22" t="str">
        <f>IF(AND(D34="0",E34="0"),"SI",IF(COUNTIF(Ajustes!$M$3:$M$150,B34),"SI",IF(AND(D34=0,E34=0,NOT(ISBLANK(D34)),NOT(ISBLANK(E34))),"SI","")))</f>
        <v>SI</v>
      </c>
    </row>
    <row r="35" spans="1:9" x14ac:dyDescent="0.3">
      <c r="A35" s="43" t="s">
        <v>35</v>
      </c>
      <c r="B35" s="43" t="s">
        <v>190</v>
      </c>
      <c r="C35" s="8">
        <v>45945</v>
      </c>
      <c r="D35" s="3">
        <v>0</v>
      </c>
      <c r="E35" s="3">
        <v>0</v>
      </c>
      <c r="F35" s="25">
        <f>SUMIF(Ajustes!$M$3:$M$150,Accesorios!B35,Ajustes!$O$3:$O$150)+SUMIF(Ajustes!$M$3:$M$150,Accesorios!B35,Ajustes!$Q$3:$Q$150)</f>
        <v>0</v>
      </c>
      <c r="G35" s="44">
        <f t="shared" si="0"/>
        <v>0</v>
      </c>
      <c r="H35" s="45">
        <f t="shared" si="1"/>
        <v>0</v>
      </c>
      <c r="I35" s="22" t="str">
        <f>IF(AND(D35="0",E35="0"),"SI",IF(COUNTIF(Ajustes!$M$3:$M$150,B35),"SI",IF(AND(D35=0,E35=0,NOT(ISBLANK(D35)),NOT(ISBLANK(E35))),"SI","")))</f>
        <v>SI</v>
      </c>
    </row>
    <row r="36" spans="1:9" x14ac:dyDescent="0.3">
      <c r="A36" s="43" t="s">
        <v>35</v>
      </c>
      <c r="B36" s="43" t="s">
        <v>240</v>
      </c>
      <c r="C36" s="8">
        <v>45943</v>
      </c>
      <c r="D36" s="3">
        <v>327</v>
      </c>
      <c r="E36" s="3">
        <v>273</v>
      </c>
      <c r="F36" s="25">
        <f>SUMIF(Ajustes!$M$3:$M$150,Accesorios!B36,Ajustes!$O$3:$O$150)+SUMIF(Ajustes!$M$3:$M$150,Accesorios!B36,Ajustes!$Q$3:$Q$150)</f>
        <v>-58940.69</v>
      </c>
      <c r="G36" s="44">
        <f t="shared" si="0"/>
        <v>-54</v>
      </c>
      <c r="H36" s="45">
        <f t="shared" si="1"/>
        <v>0</v>
      </c>
      <c r="I36" s="22" t="str">
        <f>IF(AND(D36="0",E36="0"),"SI",IF(COUNTIF(Ajustes!$M$3:$M$150,B36),"SI",IF(AND(D36=0,E36=0,NOT(ISBLANK(D36)),NOT(ISBLANK(E36))),"SI","")))</f>
        <v>SI</v>
      </c>
    </row>
    <row r="37" spans="1:9" x14ac:dyDescent="0.3">
      <c r="A37" s="43" t="s">
        <v>35</v>
      </c>
      <c r="B37" s="43" t="s">
        <v>232</v>
      </c>
      <c r="C37" s="8">
        <v>45941</v>
      </c>
      <c r="D37" s="3">
        <v>0</v>
      </c>
      <c r="E37" s="3">
        <v>0</v>
      </c>
      <c r="F37" s="25">
        <f>SUMIF(Ajustes!$M$3:$M$150,Accesorios!B37,Ajustes!$O$3:$O$150)+SUMIF(Ajustes!$M$3:$M$150,Accesorios!B37,Ajustes!$Q$3:$Q$150)</f>
        <v>0</v>
      </c>
      <c r="G37" s="44">
        <f t="shared" si="0"/>
        <v>0</v>
      </c>
      <c r="H37" s="45">
        <f t="shared" si="1"/>
        <v>0</v>
      </c>
      <c r="I37" s="22" t="str">
        <f>IF(AND(D37="0",E37="0"),"SI",IF(COUNTIF(Ajustes!$M$3:$M$150,B37),"SI",IF(AND(D37=0,E37=0,NOT(ISBLANK(D37)),NOT(ISBLANK(E37))),"SI","")))</f>
        <v>SI</v>
      </c>
    </row>
    <row r="38" spans="1:9" x14ac:dyDescent="0.3">
      <c r="A38" s="43" t="s">
        <v>65</v>
      </c>
      <c r="B38" s="43" t="s">
        <v>241</v>
      </c>
      <c r="C38" s="8">
        <v>45941</v>
      </c>
      <c r="D38" s="3">
        <v>0</v>
      </c>
      <c r="E38" s="3">
        <v>0</v>
      </c>
      <c r="F38" s="25">
        <f>SUMIF(Ajustes!$M$3:$M$150,Accesorios!B38,Ajustes!$O$3:$O$150)+SUMIF(Ajustes!$M$3:$M$150,Accesorios!B38,Ajustes!$Q$3:$Q$150)</f>
        <v>0</v>
      </c>
      <c r="G38" s="44">
        <f>E38-D38</f>
        <v>0</v>
      </c>
      <c r="H38" s="45">
        <f>IF(C38&lt;&gt;"",0,"")</f>
        <v>0</v>
      </c>
      <c r="I38" s="22" t="str">
        <f>IF(AND(D38="0",E38="0"),"SI",IF(COUNTIF(Ajustes!$M$3:$M$150,B38),"SI",IF(AND(D38=0,E38=0,NOT(ISBLANK(D38)),NOT(ISBLANK(E38))),"SI","")))</f>
        <v>SI</v>
      </c>
    </row>
    <row r="39" spans="1:9" x14ac:dyDescent="0.3">
      <c r="A39" s="43" t="s">
        <v>65</v>
      </c>
      <c r="B39" s="43" t="s">
        <v>121</v>
      </c>
      <c r="C39" s="8">
        <v>45941</v>
      </c>
      <c r="D39" s="3">
        <v>0</v>
      </c>
      <c r="E39" s="3">
        <v>0</v>
      </c>
      <c r="F39" s="25">
        <f>SUMIF(Ajustes!$M$3:$M$150,Accesorios!B39,Ajustes!$O$3:$O$150)+SUMIF(Ajustes!$M$3:$M$150,Accesorios!B39,Ajustes!$Q$3:$Q$150)</f>
        <v>0</v>
      </c>
      <c r="G39" s="44">
        <f t="shared" ref="G39:G70" si="2">E39-D39</f>
        <v>0</v>
      </c>
      <c r="H39" s="45">
        <f t="shared" ref="H39:H70" si="3">IF(C39&lt;&gt;"",0,"")</f>
        <v>0</v>
      </c>
      <c r="I39" s="22" t="str">
        <f>IF(AND(D39="0",E39="0"),"SI",IF(COUNTIF(Ajustes!$M$3:$M$150,B39),"SI",IF(AND(D39=0,E39=0,NOT(ISBLANK(D39)),NOT(ISBLANK(E39))),"SI","")))</f>
        <v>SI</v>
      </c>
    </row>
    <row r="40" spans="1:9" x14ac:dyDescent="0.3">
      <c r="A40" s="43" t="s">
        <v>65</v>
      </c>
      <c r="B40" s="43" t="s">
        <v>68</v>
      </c>
      <c r="C40" s="8">
        <v>45941</v>
      </c>
      <c r="D40" s="3">
        <v>0</v>
      </c>
      <c r="E40" s="3">
        <v>0</v>
      </c>
      <c r="F40" s="25">
        <f>SUMIF(Ajustes!$M$3:$M$150,Accesorios!B40,Ajustes!$O$3:$O$150)+SUMIF(Ajustes!$M$3:$M$150,Accesorios!B40,Ajustes!$Q$3:$Q$150)</f>
        <v>0</v>
      </c>
      <c r="G40" s="44">
        <f t="shared" si="2"/>
        <v>0</v>
      </c>
      <c r="H40" s="45">
        <f t="shared" si="3"/>
        <v>0</v>
      </c>
      <c r="I40" s="22" t="str">
        <f>IF(AND(D40="0",E40="0"),"SI",IF(COUNTIF(Ajustes!$M$3:$M$150,B40),"SI",IF(AND(D40=0,E40=0,NOT(ISBLANK(D40)),NOT(ISBLANK(E40))),"SI","")))</f>
        <v>SI</v>
      </c>
    </row>
    <row r="41" spans="1:9" x14ac:dyDescent="0.3">
      <c r="A41" s="43" t="s">
        <v>65</v>
      </c>
      <c r="B41" s="43" t="s">
        <v>72</v>
      </c>
      <c r="C41" s="8">
        <v>45941</v>
      </c>
      <c r="D41" s="3">
        <v>0</v>
      </c>
      <c r="E41" s="3">
        <v>0</v>
      </c>
      <c r="F41" s="25">
        <f>SUMIF(Ajustes!$M$3:$M$150,Accesorios!B41,Ajustes!$O$3:$O$150)+SUMIF(Ajustes!$M$3:$M$150,Accesorios!B41,Ajustes!$Q$3:$Q$150)</f>
        <v>0</v>
      </c>
      <c r="G41" s="44">
        <f t="shared" si="2"/>
        <v>0</v>
      </c>
      <c r="H41" s="45">
        <f t="shared" si="3"/>
        <v>0</v>
      </c>
      <c r="I41" s="22" t="str">
        <f>IF(AND(D41="0",E41="0"),"SI",IF(COUNTIF(Ajustes!$M$3:$M$150,B41),"SI",IF(AND(D41=0,E41=0,NOT(ISBLANK(D41)),NOT(ISBLANK(E41))),"SI","")))</f>
        <v>SI</v>
      </c>
    </row>
    <row r="42" spans="1:9" x14ac:dyDescent="0.3">
      <c r="A42" s="43" t="s">
        <v>65</v>
      </c>
      <c r="B42" s="43" t="s">
        <v>39</v>
      </c>
      <c r="C42" s="8">
        <v>45941</v>
      </c>
      <c r="D42" s="3">
        <v>0</v>
      </c>
      <c r="E42" s="3">
        <v>0</v>
      </c>
      <c r="F42" s="25">
        <f>SUMIF(Ajustes!$M$3:$M$150,Accesorios!B42,Ajustes!$O$3:$O$150)+SUMIF(Ajustes!$M$3:$M$150,Accesorios!B42,Ajustes!$Q$3:$Q$150)</f>
        <v>0</v>
      </c>
      <c r="G42" s="44">
        <f t="shared" si="2"/>
        <v>0</v>
      </c>
      <c r="H42" s="45">
        <f t="shared" si="3"/>
        <v>0</v>
      </c>
      <c r="I42" s="22" t="str">
        <f>IF(AND(D42="0",E42="0"),"SI",IF(COUNTIF(Ajustes!$M$3:$M$150,B42),"SI",IF(AND(D42=0,E42=0,NOT(ISBLANK(D42)),NOT(ISBLANK(E42))),"SI","")))</f>
        <v>SI</v>
      </c>
    </row>
    <row r="43" spans="1:9" x14ac:dyDescent="0.3">
      <c r="A43" s="43" t="s">
        <v>65</v>
      </c>
      <c r="B43" s="43" t="s">
        <v>41</v>
      </c>
      <c r="C43" s="8">
        <v>45941</v>
      </c>
      <c r="D43" s="3">
        <v>0</v>
      </c>
      <c r="E43" s="3">
        <v>0</v>
      </c>
      <c r="F43" s="25">
        <f>SUMIF(Ajustes!$M$3:$M$150,Accesorios!B43,Ajustes!$O$3:$O$150)+SUMIF(Ajustes!$M$3:$M$150,Accesorios!B43,Ajustes!$Q$3:$Q$150)</f>
        <v>0</v>
      </c>
      <c r="G43" s="44">
        <f t="shared" si="2"/>
        <v>0</v>
      </c>
      <c r="H43" s="45">
        <f t="shared" si="3"/>
        <v>0</v>
      </c>
      <c r="I43" s="22" t="str">
        <f>IF(AND(D43="0",E43="0"),"SI",IF(COUNTIF(Ajustes!$M$3:$M$150,B43),"SI",IF(AND(D43=0,E43=0,NOT(ISBLANK(D43)),NOT(ISBLANK(E43))),"SI","")))</f>
        <v>SI</v>
      </c>
    </row>
    <row r="44" spans="1:9" x14ac:dyDescent="0.3">
      <c r="A44" s="43" t="s">
        <v>65</v>
      </c>
      <c r="B44" s="43" t="s">
        <v>179</v>
      </c>
      <c r="C44" s="8">
        <v>45941</v>
      </c>
      <c r="D44" s="3">
        <v>0</v>
      </c>
      <c r="E44" s="3">
        <v>0</v>
      </c>
      <c r="F44" s="25">
        <f>SUMIF(Ajustes!$M$3:$M$150,Accesorios!B44,Ajustes!$O$3:$O$150)+SUMIF(Ajustes!$M$3:$M$150,Accesorios!B44,Ajustes!$Q$3:$Q$150)</f>
        <v>0</v>
      </c>
      <c r="G44" s="44">
        <f t="shared" si="2"/>
        <v>0</v>
      </c>
      <c r="H44" s="45">
        <f t="shared" si="3"/>
        <v>0</v>
      </c>
      <c r="I44" s="22" t="str">
        <f>IF(AND(D44="0",E44="0"),"SI",IF(COUNTIF(Ajustes!$M$3:$M$150,B44),"SI",IF(AND(D44=0,E44=0,NOT(ISBLANK(D44)),NOT(ISBLANK(E44))),"SI","")))</f>
        <v>SI</v>
      </c>
    </row>
    <row r="45" spans="1:9" x14ac:dyDescent="0.3">
      <c r="A45" s="43" t="s">
        <v>65</v>
      </c>
      <c r="B45" s="43" t="s">
        <v>85</v>
      </c>
      <c r="C45" s="8">
        <v>45941</v>
      </c>
      <c r="D45" s="3">
        <v>0</v>
      </c>
      <c r="E45" s="3">
        <v>0</v>
      </c>
      <c r="F45" s="25">
        <f>SUMIF(Ajustes!$M$3:$M$150,Accesorios!B45,Ajustes!$O$3:$O$150)+SUMIF(Ajustes!$M$3:$M$150,Accesorios!B45,Ajustes!$Q$3:$Q$150)</f>
        <v>0</v>
      </c>
      <c r="G45" s="44">
        <f t="shared" si="2"/>
        <v>0</v>
      </c>
      <c r="H45" s="45">
        <f t="shared" si="3"/>
        <v>0</v>
      </c>
      <c r="I45" s="22" t="str">
        <f>IF(AND(D45="0",E45="0"),"SI",IF(COUNTIF(Ajustes!$M$3:$M$150,B45),"SI",IF(AND(D45=0,E45=0,NOT(ISBLANK(D45)),NOT(ISBLANK(E45))),"SI","")))</f>
        <v>SI</v>
      </c>
    </row>
    <row r="46" spans="1:9" x14ac:dyDescent="0.3">
      <c r="A46" s="43" t="s">
        <v>65</v>
      </c>
      <c r="B46" s="43" t="s">
        <v>137</v>
      </c>
      <c r="C46" s="8">
        <v>45943</v>
      </c>
      <c r="D46" s="3">
        <v>5</v>
      </c>
      <c r="E46" s="3">
        <v>5</v>
      </c>
      <c r="F46" s="25">
        <f>SUMIF(Ajustes!$M$3:$M$150,Accesorios!B46,Ajustes!$O$3:$O$150)+SUMIF(Ajustes!$M$3:$M$150,Accesorios!B46,Ajustes!$Q$3:$Q$150)</f>
        <v>0</v>
      </c>
      <c r="G46" s="44">
        <f t="shared" si="2"/>
        <v>0</v>
      </c>
      <c r="H46" s="45">
        <f t="shared" si="3"/>
        <v>0</v>
      </c>
      <c r="I46" s="22" t="str">
        <f>IF(AND(D46="0",E46="0"),"SI",IF(COUNTIF(Ajustes!$M$3:$M$150,B46),"SI",IF(AND(D46=0,E46=0,NOT(ISBLANK(D46)),NOT(ISBLANK(E46))),"SI","")))</f>
        <v>SI</v>
      </c>
    </row>
    <row r="47" spans="1:9" x14ac:dyDescent="0.3">
      <c r="A47" s="43" t="s">
        <v>65</v>
      </c>
      <c r="B47" s="43" t="s">
        <v>242</v>
      </c>
      <c r="C47" s="8">
        <v>45941</v>
      </c>
      <c r="D47" s="3">
        <v>0</v>
      </c>
      <c r="E47" s="3">
        <v>0</v>
      </c>
      <c r="F47" s="25">
        <f>SUMIF(Ajustes!$M$3:$M$150,Accesorios!B47,Ajustes!$O$3:$O$150)+SUMIF(Ajustes!$M$3:$M$150,Accesorios!B47,Ajustes!$Q$3:$Q$150)</f>
        <v>0</v>
      </c>
      <c r="G47" s="44">
        <f t="shared" si="2"/>
        <v>0</v>
      </c>
      <c r="H47" s="45">
        <f t="shared" si="3"/>
        <v>0</v>
      </c>
      <c r="I47" s="22" t="str">
        <f>IF(AND(D47="0",E47="0"),"SI",IF(COUNTIF(Ajustes!$M$3:$M$150,B47),"SI",IF(AND(D47=0,E47=0,NOT(ISBLANK(D47)),NOT(ISBLANK(E47))),"SI","")))</f>
        <v>SI</v>
      </c>
    </row>
    <row r="48" spans="1:9" x14ac:dyDescent="0.3">
      <c r="A48" s="43" t="s">
        <v>65</v>
      </c>
      <c r="B48" s="43" t="s">
        <v>43</v>
      </c>
      <c r="C48" s="8">
        <v>45941</v>
      </c>
      <c r="D48" s="3">
        <v>0</v>
      </c>
      <c r="E48" s="3">
        <v>0</v>
      </c>
      <c r="F48" s="25">
        <f>SUMIF(Ajustes!$M$3:$M$150,Accesorios!B48,Ajustes!$O$3:$O$150)+SUMIF(Ajustes!$M$3:$M$150,Accesorios!B48,Ajustes!$Q$3:$Q$150)</f>
        <v>0</v>
      </c>
      <c r="G48" s="44">
        <f t="shared" si="2"/>
        <v>0</v>
      </c>
      <c r="H48" s="45">
        <f t="shared" si="3"/>
        <v>0</v>
      </c>
      <c r="I48" s="22" t="str">
        <f>IF(AND(D48="0",E48="0"),"SI",IF(COUNTIF(Ajustes!$M$3:$M$150,B48),"SI",IF(AND(D48=0,E48=0,NOT(ISBLANK(D48)),NOT(ISBLANK(E48))),"SI","")))</f>
        <v>SI</v>
      </c>
    </row>
    <row r="49" spans="1:9" x14ac:dyDescent="0.3">
      <c r="A49" s="43" t="s">
        <v>65</v>
      </c>
      <c r="B49" s="43" t="s">
        <v>243</v>
      </c>
      <c r="C49" s="8">
        <v>45941</v>
      </c>
      <c r="D49" s="3">
        <v>0</v>
      </c>
      <c r="E49" s="3">
        <v>0</v>
      </c>
      <c r="F49" s="25">
        <f>SUMIF(Ajustes!$M$3:$M$150,Accesorios!B49,Ajustes!$O$3:$O$150)+SUMIF(Ajustes!$M$3:$M$150,Accesorios!B49,Ajustes!$Q$3:$Q$150)</f>
        <v>0</v>
      </c>
      <c r="G49" s="44">
        <f t="shared" si="2"/>
        <v>0</v>
      </c>
      <c r="H49" s="45">
        <f t="shared" si="3"/>
        <v>0</v>
      </c>
      <c r="I49" s="22" t="str">
        <f>IF(AND(D49="0",E49="0"),"SI",IF(COUNTIF(Ajustes!$M$3:$M$150,B49),"SI",IF(AND(D49=0,E49=0,NOT(ISBLANK(D49)),NOT(ISBLANK(E49))),"SI","")))</f>
        <v>SI</v>
      </c>
    </row>
    <row r="50" spans="1:9" x14ac:dyDescent="0.3">
      <c r="A50" s="43" t="s">
        <v>65</v>
      </c>
      <c r="B50" s="43" t="s">
        <v>244</v>
      </c>
      <c r="C50" s="8">
        <v>45941</v>
      </c>
      <c r="D50" s="3">
        <v>0</v>
      </c>
      <c r="E50" s="3">
        <v>0</v>
      </c>
      <c r="F50" s="25">
        <f>SUMIF(Ajustes!$M$3:$M$150,Accesorios!B50,Ajustes!$O$3:$O$150)+SUMIF(Ajustes!$M$3:$M$150,Accesorios!B50,Ajustes!$Q$3:$Q$150)</f>
        <v>0</v>
      </c>
      <c r="G50" s="44">
        <f t="shared" si="2"/>
        <v>0</v>
      </c>
      <c r="H50" s="45">
        <f t="shared" si="3"/>
        <v>0</v>
      </c>
      <c r="I50" s="22" t="str">
        <f>IF(AND(D50="0",E50="0"),"SI",IF(COUNTIF(Ajustes!$M$3:$M$150,B50),"SI",IF(AND(D50=0,E50=0,NOT(ISBLANK(D50)),NOT(ISBLANK(E50))),"SI","")))</f>
        <v>SI</v>
      </c>
    </row>
    <row r="51" spans="1:9" x14ac:dyDescent="0.3">
      <c r="A51" s="43" t="s">
        <v>65</v>
      </c>
      <c r="B51" s="43" t="s">
        <v>45</v>
      </c>
      <c r="C51" s="8">
        <v>45941</v>
      </c>
      <c r="D51" s="3">
        <v>0</v>
      </c>
      <c r="E51" s="3">
        <v>0</v>
      </c>
      <c r="F51" s="25">
        <f>SUMIF(Ajustes!$M$3:$M$150,Accesorios!B51,Ajustes!$O$3:$O$150)+SUMIF(Ajustes!$M$3:$M$150,Accesorios!B51,Ajustes!$Q$3:$Q$150)</f>
        <v>0</v>
      </c>
      <c r="G51" s="44">
        <f t="shared" si="2"/>
        <v>0</v>
      </c>
      <c r="H51" s="45">
        <f t="shared" si="3"/>
        <v>0</v>
      </c>
      <c r="I51" s="22" t="str">
        <f>IF(AND(D51="0",E51="0"),"SI",IF(COUNTIF(Ajustes!$M$3:$M$150,B51),"SI",IF(AND(D51=0,E51=0,NOT(ISBLANK(D51)),NOT(ISBLANK(E51))),"SI","")))</f>
        <v>SI</v>
      </c>
    </row>
    <row r="52" spans="1:9" x14ac:dyDescent="0.3">
      <c r="A52" s="43" t="s">
        <v>65</v>
      </c>
      <c r="B52" s="43" t="s">
        <v>94</v>
      </c>
      <c r="C52" s="8">
        <v>45941</v>
      </c>
      <c r="D52" s="3">
        <v>0</v>
      </c>
      <c r="E52" s="3">
        <v>0</v>
      </c>
      <c r="F52" s="25">
        <f>SUMIF(Ajustes!$M$3:$M$150,Accesorios!B52,Ajustes!$O$3:$O$150)+SUMIF(Ajustes!$M$3:$M$150,Accesorios!B52,Ajustes!$Q$3:$Q$150)</f>
        <v>0</v>
      </c>
      <c r="G52" s="44">
        <f t="shared" si="2"/>
        <v>0</v>
      </c>
      <c r="H52" s="45">
        <f t="shared" si="3"/>
        <v>0</v>
      </c>
      <c r="I52" s="22" t="str">
        <f>IF(AND(D52="0",E52="0"),"SI",IF(COUNTIF(Ajustes!$M$3:$M$150,B52),"SI",IF(AND(D52=0,E52=0,NOT(ISBLANK(D52)),NOT(ISBLANK(E52))),"SI","")))</f>
        <v>SI</v>
      </c>
    </row>
    <row r="53" spans="1:9" x14ac:dyDescent="0.3">
      <c r="A53" s="43" t="s">
        <v>65</v>
      </c>
      <c r="B53" s="43" t="s">
        <v>245</v>
      </c>
      <c r="C53" s="8">
        <v>45943</v>
      </c>
      <c r="D53" s="3">
        <v>90</v>
      </c>
      <c r="E53" s="3">
        <v>78</v>
      </c>
      <c r="F53" s="25">
        <f>SUMIF(Ajustes!$M$3:$M$150,Accesorios!B53,Ajustes!$O$3:$O$150)+SUMIF(Ajustes!$M$3:$M$150,Accesorios!B53,Ajustes!$Q$3:$Q$150)</f>
        <v>-42589.8</v>
      </c>
      <c r="G53" s="44">
        <f t="shared" si="2"/>
        <v>-12</v>
      </c>
      <c r="H53" s="45">
        <f t="shared" si="3"/>
        <v>0</v>
      </c>
      <c r="I53" s="22" t="str">
        <f>IF(AND(D53="0",E53="0"),"SI",IF(COUNTIF(Ajustes!$M$3:$M$150,B53),"SI",IF(AND(D53=0,E53=0,NOT(ISBLANK(D53)),NOT(ISBLANK(E53))),"SI","")))</f>
        <v>SI</v>
      </c>
    </row>
    <row r="54" spans="1:9" x14ac:dyDescent="0.3">
      <c r="A54" s="43" t="s">
        <v>65</v>
      </c>
      <c r="B54" s="43" t="s">
        <v>246</v>
      </c>
      <c r="C54" s="8">
        <v>45943</v>
      </c>
      <c r="D54" s="3">
        <v>4</v>
      </c>
      <c r="E54" s="3">
        <v>4</v>
      </c>
      <c r="F54" s="25">
        <f>SUMIF(Ajustes!$M$3:$M$150,Accesorios!B54,Ajustes!$O$3:$O$150)+SUMIF(Ajustes!$M$3:$M$150,Accesorios!B54,Ajustes!$Q$3:$Q$150)</f>
        <v>0</v>
      </c>
      <c r="G54" s="44">
        <f t="shared" si="2"/>
        <v>0</v>
      </c>
      <c r="H54" s="45">
        <f t="shared" si="3"/>
        <v>0</v>
      </c>
      <c r="I54" s="22" t="str">
        <f>IF(AND(D54="0",E54="0"),"SI",IF(COUNTIF(Ajustes!$M$3:$M$150,B54),"SI",IF(AND(D54=0,E54=0,NOT(ISBLANK(D54)),NOT(ISBLANK(E54))),"SI","")))</f>
        <v>SI</v>
      </c>
    </row>
    <row r="55" spans="1:9" x14ac:dyDescent="0.3">
      <c r="A55" s="43" t="s">
        <v>65</v>
      </c>
      <c r="B55" s="43" t="s">
        <v>99</v>
      </c>
      <c r="C55" s="8">
        <v>45941</v>
      </c>
      <c r="D55" s="3">
        <v>0</v>
      </c>
      <c r="E55" s="3">
        <v>0</v>
      </c>
      <c r="F55" s="25">
        <f>SUMIF(Ajustes!$M$3:$M$150,Accesorios!B55,Ajustes!$O$3:$O$150)+SUMIF(Ajustes!$M$3:$M$150,Accesorios!B55,Ajustes!$Q$3:$Q$150)</f>
        <v>0</v>
      </c>
      <c r="G55" s="44">
        <f t="shared" si="2"/>
        <v>0</v>
      </c>
      <c r="H55" s="45">
        <f t="shared" si="3"/>
        <v>0</v>
      </c>
      <c r="I55" s="22" t="str">
        <f>IF(AND(D55="0",E55="0"),"SI",IF(COUNTIF(Ajustes!$M$3:$M$150,B55),"SI",IF(AND(D55=0,E55=0,NOT(ISBLANK(D55)),NOT(ISBLANK(E55))),"SI","")))</f>
        <v>SI</v>
      </c>
    </row>
    <row r="56" spans="1:9" x14ac:dyDescent="0.3">
      <c r="A56" s="43" t="s">
        <v>65</v>
      </c>
      <c r="B56" s="43" t="s">
        <v>102</v>
      </c>
      <c r="C56" s="8">
        <v>45936</v>
      </c>
      <c r="D56" s="3">
        <v>0</v>
      </c>
      <c r="E56" s="3">
        <v>0</v>
      </c>
      <c r="F56" s="25">
        <f>SUMIF(Ajustes!$M$3:$M$150,Accesorios!B56,Ajustes!$O$3:$O$150)+SUMIF(Ajustes!$M$3:$M$150,Accesorios!B56,Ajustes!$Q$3:$Q$150)</f>
        <v>0</v>
      </c>
      <c r="G56" s="44">
        <f t="shared" si="2"/>
        <v>0</v>
      </c>
      <c r="H56" s="45">
        <f t="shared" si="3"/>
        <v>0</v>
      </c>
      <c r="I56" s="22" t="str">
        <f>IF(AND(D56="0",E56="0"),"SI",IF(COUNTIF(Ajustes!$M$3:$M$150,B56),"SI",IF(AND(D56=0,E56=0,NOT(ISBLANK(D56)),NOT(ISBLANK(E56))),"SI","")))</f>
        <v>SI</v>
      </c>
    </row>
    <row r="57" spans="1:9" x14ac:dyDescent="0.3">
      <c r="A57" s="43" t="s">
        <v>65</v>
      </c>
      <c r="B57" s="43" t="s">
        <v>151</v>
      </c>
      <c r="C57" s="8">
        <v>45936</v>
      </c>
      <c r="D57" s="3">
        <v>0</v>
      </c>
      <c r="E57" s="3">
        <v>0</v>
      </c>
      <c r="F57" s="25">
        <f>SUMIF(Ajustes!$M$3:$M$150,Accesorios!B57,Ajustes!$O$3:$O$150)+SUMIF(Ajustes!$M$3:$M$150,Accesorios!B57,Ajustes!$Q$3:$Q$150)</f>
        <v>0</v>
      </c>
      <c r="G57" s="44">
        <f t="shared" si="2"/>
        <v>0</v>
      </c>
      <c r="H57" s="45">
        <f t="shared" si="3"/>
        <v>0</v>
      </c>
      <c r="I57" s="22" t="str">
        <f>IF(AND(D57="0",E57="0"),"SI",IF(COUNTIF(Ajustes!$M$3:$M$150,B57),"SI",IF(AND(D57=0,E57=0,NOT(ISBLANK(D57)),NOT(ISBLANK(E57))),"SI","")))</f>
        <v>SI</v>
      </c>
    </row>
    <row r="58" spans="1:9" x14ac:dyDescent="0.3">
      <c r="A58" s="43" t="s">
        <v>65</v>
      </c>
      <c r="B58" s="43" t="s">
        <v>53</v>
      </c>
      <c r="C58" s="8">
        <v>45936</v>
      </c>
      <c r="D58" s="3">
        <v>0</v>
      </c>
      <c r="E58" s="3">
        <v>0</v>
      </c>
      <c r="F58" s="25">
        <f>SUMIF(Ajustes!$M$3:$M$150,Accesorios!B58,Ajustes!$O$3:$O$150)+SUMIF(Ajustes!$M$3:$M$150,Accesorios!B58,Ajustes!$Q$3:$Q$150)</f>
        <v>0</v>
      </c>
      <c r="G58" s="44">
        <f t="shared" si="2"/>
        <v>0</v>
      </c>
      <c r="H58" s="45">
        <f t="shared" si="3"/>
        <v>0</v>
      </c>
      <c r="I58" s="22" t="str">
        <f>IF(AND(D58="0",E58="0"),"SI",IF(COUNTIF(Ajustes!$M$3:$M$150,B58),"SI",IF(AND(D58=0,E58=0,NOT(ISBLANK(D58)),NOT(ISBLANK(E58))),"SI","")))</f>
        <v>SI</v>
      </c>
    </row>
    <row r="59" spans="1:9" x14ac:dyDescent="0.3">
      <c r="A59" s="43" t="s">
        <v>65</v>
      </c>
      <c r="B59" s="43" t="s">
        <v>54</v>
      </c>
      <c r="C59" s="8">
        <v>45936</v>
      </c>
      <c r="D59" s="3">
        <v>0</v>
      </c>
      <c r="E59" s="3">
        <v>0</v>
      </c>
      <c r="F59" s="25">
        <f>SUMIF(Ajustes!$M$3:$M$150,Accesorios!B59,Ajustes!$O$3:$O$150)+SUMIF(Ajustes!$M$3:$M$150,Accesorios!B59,Ajustes!$Q$3:$Q$150)</f>
        <v>0</v>
      </c>
      <c r="G59" s="44">
        <f t="shared" si="2"/>
        <v>0</v>
      </c>
      <c r="H59" s="45">
        <f t="shared" si="3"/>
        <v>0</v>
      </c>
      <c r="I59" s="22" t="str">
        <f>IF(AND(D59="0",E59="0"),"SI",IF(COUNTIF(Ajustes!$M$3:$M$150,B59),"SI",IF(AND(D59=0,E59=0,NOT(ISBLANK(D59)),NOT(ISBLANK(E59))),"SI","")))</f>
        <v>SI</v>
      </c>
    </row>
    <row r="60" spans="1:9" x14ac:dyDescent="0.3">
      <c r="A60" s="43" t="s">
        <v>65</v>
      </c>
      <c r="B60" s="43" t="s">
        <v>247</v>
      </c>
      <c r="C60" s="8">
        <v>45938</v>
      </c>
      <c r="D60" s="3">
        <v>288</v>
      </c>
      <c r="E60" s="3">
        <v>253</v>
      </c>
      <c r="F60" s="25">
        <f>SUMIF(Ajustes!$M$3:$M$150,Accesorios!B60,Ajustes!$O$3:$O$150)+SUMIF(Ajustes!$M$3:$M$150,Accesorios!B60,Ajustes!$Q$3:$Q$150)</f>
        <v>-94845.790000000008</v>
      </c>
      <c r="G60" s="44">
        <f t="shared" si="2"/>
        <v>-35</v>
      </c>
      <c r="H60" s="45">
        <f t="shared" si="3"/>
        <v>0</v>
      </c>
      <c r="I60" s="22" t="str">
        <f>IF(AND(D60="0",E60="0"),"SI",IF(COUNTIF(Ajustes!$M$3:$M$150,B60),"SI",IF(AND(D60=0,E60=0,NOT(ISBLANK(D60)),NOT(ISBLANK(E60))),"SI","")))</f>
        <v>SI</v>
      </c>
    </row>
    <row r="61" spans="1:9" x14ac:dyDescent="0.3">
      <c r="A61" s="43" t="s">
        <v>65</v>
      </c>
      <c r="B61" s="43" t="s">
        <v>106</v>
      </c>
      <c r="C61" s="8">
        <v>45936</v>
      </c>
      <c r="D61" s="3">
        <v>0</v>
      </c>
      <c r="E61" s="3">
        <v>0</v>
      </c>
      <c r="F61" s="25">
        <f>SUMIF(Ajustes!$M$3:$M$150,Accesorios!B61,Ajustes!$O$3:$O$150)+SUMIF(Ajustes!$M$3:$M$150,Accesorios!B61,Ajustes!$Q$3:$Q$150)</f>
        <v>0</v>
      </c>
      <c r="G61" s="44">
        <f t="shared" si="2"/>
        <v>0</v>
      </c>
      <c r="H61" s="45">
        <f t="shared" si="3"/>
        <v>0</v>
      </c>
      <c r="I61" s="22" t="str">
        <f>IF(AND(D61="0",E61="0"),"SI",IF(COUNTIF(Ajustes!$M$3:$M$150,B61),"SI",IF(AND(D61=0,E61=0,NOT(ISBLANK(D61)),NOT(ISBLANK(E61))),"SI","")))</f>
        <v>SI</v>
      </c>
    </row>
    <row r="62" spans="1:9" x14ac:dyDescent="0.3">
      <c r="A62" s="43" t="s">
        <v>65</v>
      </c>
      <c r="B62" s="43" t="s">
        <v>189</v>
      </c>
      <c r="C62" s="8">
        <v>45936</v>
      </c>
      <c r="D62" s="3">
        <v>1</v>
      </c>
      <c r="E62" s="3">
        <v>1</v>
      </c>
      <c r="F62" s="25">
        <f>SUMIF(Ajustes!$M$3:$M$150,Accesorios!B62,Ajustes!$O$3:$O$150)+SUMIF(Ajustes!$M$3:$M$150,Accesorios!B62,Ajustes!$Q$3:$Q$150)</f>
        <v>0</v>
      </c>
      <c r="G62" s="44">
        <f t="shared" si="2"/>
        <v>0</v>
      </c>
      <c r="H62" s="45">
        <f t="shared" si="3"/>
        <v>0</v>
      </c>
      <c r="I62" s="22" t="str">
        <f>IF(AND(D62="0",E62="0"),"SI",IF(COUNTIF(Ajustes!$M$3:$M$150,B62),"SI",IF(AND(D62=0,E62=0,NOT(ISBLANK(D62)),NOT(ISBLANK(E62))),"SI","")))</f>
        <v>SI</v>
      </c>
    </row>
    <row r="63" spans="1:9" x14ac:dyDescent="0.3">
      <c r="A63" s="43" t="s">
        <v>65</v>
      </c>
      <c r="B63" s="43" t="s">
        <v>248</v>
      </c>
      <c r="C63" s="8">
        <v>45936</v>
      </c>
      <c r="D63" s="3">
        <v>1</v>
      </c>
      <c r="E63" s="3">
        <v>1</v>
      </c>
      <c r="F63" s="25">
        <f>SUMIF(Ajustes!$M$3:$M$150,Accesorios!B63,Ajustes!$O$3:$O$150)+SUMIF(Ajustes!$M$3:$M$150,Accesorios!B63,Ajustes!$Q$3:$Q$150)</f>
        <v>0</v>
      </c>
      <c r="G63" s="44">
        <f t="shared" si="2"/>
        <v>0</v>
      </c>
      <c r="H63" s="45">
        <f t="shared" si="3"/>
        <v>0</v>
      </c>
      <c r="I63" s="22" t="str">
        <f>IF(AND(D63="0",E63="0"),"SI",IF(COUNTIF(Ajustes!$M$3:$M$150,B63),"SI",IF(AND(D63=0,E63=0,NOT(ISBLANK(D63)),NOT(ISBLANK(E63))),"SI","")))</f>
        <v>SI</v>
      </c>
    </row>
    <row r="64" spans="1:9" x14ac:dyDescent="0.3">
      <c r="A64" s="43" t="s">
        <v>65</v>
      </c>
      <c r="B64" s="43" t="s">
        <v>249</v>
      </c>
      <c r="C64" s="8">
        <v>45936</v>
      </c>
      <c r="D64" s="3">
        <v>57</v>
      </c>
      <c r="E64" s="3">
        <v>52</v>
      </c>
      <c r="F64" s="25">
        <f>SUMIF(Ajustes!$M$3:$M$150,Accesorios!B64,Ajustes!$O$3:$O$150)+SUMIF(Ajustes!$M$3:$M$150,Accesorios!B64,Ajustes!$Q$3:$Q$150)</f>
        <v>-26860.080000000002</v>
      </c>
      <c r="G64" s="44">
        <f t="shared" si="2"/>
        <v>-5</v>
      </c>
      <c r="H64" s="45">
        <f t="shared" si="3"/>
        <v>0</v>
      </c>
      <c r="I64" s="22" t="str">
        <f>IF(AND(D64="0",E64="0"),"SI",IF(COUNTIF(Ajustes!$M$3:$M$150,B64),"SI",IF(AND(D64=0,E64=0,NOT(ISBLANK(D64)),NOT(ISBLANK(E64))),"SI","")))</f>
        <v>SI</v>
      </c>
    </row>
    <row r="65" spans="1:9" x14ac:dyDescent="0.3">
      <c r="A65" s="43" t="s">
        <v>65</v>
      </c>
      <c r="B65" s="43" t="s">
        <v>108</v>
      </c>
      <c r="C65" s="8">
        <v>45936</v>
      </c>
      <c r="D65" s="3">
        <v>0</v>
      </c>
      <c r="E65" s="3">
        <v>0</v>
      </c>
      <c r="F65" s="25">
        <f>SUMIF(Ajustes!$M$3:$M$150,Accesorios!B65,Ajustes!$O$3:$O$150)+SUMIF(Ajustes!$M$3:$M$150,Accesorios!B65,Ajustes!$Q$3:$Q$150)</f>
        <v>0</v>
      </c>
      <c r="G65" s="44">
        <f t="shared" si="2"/>
        <v>0</v>
      </c>
      <c r="H65" s="45">
        <f t="shared" si="3"/>
        <v>0</v>
      </c>
      <c r="I65" s="22" t="str">
        <f>IF(AND(D65="0",E65="0"),"SI",IF(COUNTIF(Ajustes!$M$3:$M$150,B65),"SI",IF(AND(D65=0,E65=0,NOT(ISBLANK(D65)),NOT(ISBLANK(E65))),"SI","")))</f>
        <v>SI</v>
      </c>
    </row>
    <row r="66" spans="1:9" x14ac:dyDescent="0.3">
      <c r="A66" s="43" t="s">
        <v>65</v>
      </c>
      <c r="B66" s="43" t="s">
        <v>250</v>
      </c>
      <c r="C66" s="8">
        <v>45938</v>
      </c>
      <c r="D66" s="3">
        <v>35</v>
      </c>
      <c r="E66" s="3">
        <v>31</v>
      </c>
      <c r="F66" s="25">
        <f>SUMIF(Ajustes!$M$3:$M$150,Accesorios!B66,Ajustes!$O$3:$O$150)+SUMIF(Ajustes!$M$3:$M$150,Accesorios!B66,Ajustes!$Q$3:$Q$150)</f>
        <v>-18542.79</v>
      </c>
      <c r="G66" s="44">
        <f t="shared" si="2"/>
        <v>-4</v>
      </c>
      <c r="H66" s="45">
        <f t="shared" si="3"/>
        <v>0</v>
      </c>
      <c r="I66" s="22" t="str">
        <f>IF(AND(D66="0",E66="0"),"SI",IF(COUNTIF(Ajustes!$M$3:$M$150,B66),"SI",IF(AND(D66=0,E66=0,NOT(ISBLANK(D66)),NOT(ISBLANK(E66))),"SI","")))</f>
        <v>SI</v>
      </c>
    </row>
    <row r="67" spans="1:9" x14ac:dyDescent="0.3">
      <c r="A67" s="43" t="s">
        <v>65</v>
      </c>
      <c r="B67" s="43" t="s">
        <v>251</v>
      </c>
      <c r="C67" s="8">
        <v>45936</v>
      </c>
      <c r="D67" s="3">
        <v>15</v>
      </c>
      <c r="E67" s="3">
        <v>14</v>
      </c>
      <c r="F67" s="25">
        <f>SUMIF(Ajustes!$M$3:$M$150,Accesorios!B67,Ajustes!$O$3:$O$150)+SUMIF(Ajustes!$M$3:$M$150,Accesorios!B67,Ajustes!$Q$3:$Q$150)</f>
        <v>-7770.01</v>
      </c>
      <c r="G67" s="44">
        <f t="shared" si="2"/>
        <v>-1</v>
      </c>
      <c r="H67" s="45">
        <f t="shared" si="3"/>
        <v>0</v>
      </c>
      <c r="I67" s="22" t="str">
        <f>IF(AND(D67="0",E67="0"),"SI",IF(COUNTIF(Ajustes!$M$3:$M$150,B67),"SI",IF(AND(D67=0,E67=0,NOT(ISBLANK(D67)),NOT(ISBLANK(E67))),"SI","")))</f>
        <v>SI</v>
      </c>
    </row>
    <row r="68" spans="1:9" x14ac:dyDescent="0.3">
      <c r="A68" s="43" t="s">
        <v>65</v>
      </c>
      <c r="B68" s="43" t="s">
        <v>252</v>
      </c>
      <c r="C68" s="8">
        <v>45936</v>
      </c>
      <c r="D68" s="3">
        <v>20</v>
      </c>
      <c r="E68" s="3">
        <v>10</v>
      </c>
      <c r="F68" s="25">
        <f>SUMIF(Ajustes!$M$3:$M$150,Accesorios!B68,Ajustes!$O$3:$O$150)+SUMIF(Ajustes!$M$3:$M$150,Accesorios!B68,Ajustes!$Q$3:$Q$150)</f>
        <v>-51078.3</v>
      </c>
      <c r="G68" s="44">
        <f t="shared" si="2"/>
        <v>-10</v>
      </c>
      <c r="H68" s="45">
        <f t="shared" si="3"/>
        <v>0</v>
      </c>
      <c r="I68" s="22" t="str">
        <f>IF(AND(D68="0",E68="0"),"SI",IF(COUNTIF(Ajustes!$M$3:$M$150,B68),"SI",IF(AND(D68=0,E68=0,NOT(ISBLANK(D68)),NOT(ISBLANK(E68))),"SI","")))</f>
        <v>SI</v>
      </c>
    </row>
    <row r="69" spans="1:9" x14ac:dyDescent="0.3">
      <c r="A69" s="43" t="s">
        <v>65</v>
      </c>
      <c r="B69" s="43" t="s">
        <v>64</v>
      </c>
      <c r="C69" s="8">
        <v>45936</v>
      </c>
      <c r="D69" s="3">
        <v>0</v>
      </c>
      <c r="E69" s="3">
        <v>0</v>
      </c>
      <c r="F69" s="25">
        <f>SUMIF(Ajustes!$M$3:$M$150,Accesorios!B69,Ajustes!$O$3:$O$150)+SUMIF(Ajustes!$M$3:$M$150,Accesorios!B69,Ajustes!$Q$3:$Q$150)</f>
        <v>0</v>
      </c>
      <c r="G69" s="44">
        <f t="shared" si="2"/>
        <v>0</v>
      </c>
      <c r="H69" s="45">
        <f t="shared" si="3"/>
        <v>0</v>
      </c>
      <c r="I69" s="22" t="str">
        <f>IF(AND(D69="0",E69="0"),"SI",IF(COUNTIF(Ajustes!$M$3:$M$150,B69),"SI",IF(AND(D69=0,E69=0,NOT(ISBLANK(D69)),NOT(ISBLANK(E69))),"SI","")))</f>
        <v>SI</v>
      </c>
    </row>
    <row r="70" spans="1:9" x14ac:dyDescent="0.3">
      <c r="A70" s="43" t="s">
        <v>65</v>
      </c>
      <c r="B70" s="43" t="s">
        <v>168</v>
      </c>
      <c r="C70" s="8">
        <v>45936</v>
      </c>
      <c r="D70" s="3">
        <v>0</v>
      </c>
      <c r="E70" s="3">
        <v>0</v>
      </c>
      <c r="F70" s="25">
        <f>SUMIF(Ajustes!$M$3:$M$150,Accesorios!B70,Ajustes!$O$3:$O$150)+SUMIF(Ajustes!$M$3:$M$150,Accesorios!B70,Ajustes!$Q$3:$Q$150)</f>
        <v>0</v>
      </c>
      <c r="G70" s="44">
        <f t="shared" si="2"/>
        <v>0</v>
      </c>
      <c r="H70" s="45">
        <f t="shared" si="3"/>
        <v>0</v>
      </c>
      <c r="I70" s="22" t="str">
        <f>IF(AND(D70="0",E70="0"),"SI",IF(COUNTIF(Ajustes!$M$3:$M$150,B70),"SI",IF(AND(D70=0,E70=0,NOT(ISBLANK(D70)),NOT(ISBLANK(E70))),"SI","")))</f>
        <v>SI</v>
      </c>
    </row>
    <row r="71" spans="1:9" x14ac:dyDescent="0.3">
      <c r="A71" s="43" t="s">
        <v>120</v>
      </c>
      <c r="B71" s="43" t="s">
        <v>253</v>
      </c>
      <c r="C71" s="8">
        <v>45936</v>
      </c>
      <c r="D71" s="3">
        <v>2</v>
      </c>
      <c r="E71" s="3">
        <v>2</v>
      </c>
      <c r="F71" s="25">
        <f>SUMIF(Ajustes!$M$3:$M$150,Accesorios!B71,Ajustes!$O$3:$O$150)+SUMIF(Ajustes!$M$3:$M$150,Accesorios!B71,Ajustes!$Q$3:$Q$150)</f>
        <v>0</v>
      </c>
      <c r="G71" s="44">
        <f>E71-D71</f>
        <v>0</v>
      </c>
      <c r="H71" s="53">
        <f>IF(C71&lt;&gt;"",0,"")</f>
        <v>0</v>
      </c>
      <c r="I71" s="22" t="str">
        <f>IF(AND(D71="0",E71="0"),"SI",IF(COUNTIF(Ajustes!$M$3:$M$150,B71),"SI",IF(AND(D71=0,E71=0,NOT(ISBLANK(D71)),NOT(ISBLANK(E71))),"SI","")))</f>
        <v>SI</v>
      </c>
    </row>
    <row r="72" spans="1:9" x14ac:dyDescent="0.3">
      <c r="A72" s="43" t="s">
        <v>120</v>
      </c>
      <c r="B72" s="43" t="s">
        <v>254</v>
      </c>
      <c r="C72" s="8">
        <v>45936</v>
      </c>
      <c r="D72" s="3">
        <v>0</v>
      </c>
      <c r="E72" s="3">
        <v>0</v>
      </c>
      <c r="F72" s="25">
        <f>SUMIF(Ajustes!$M$3:$M$150,Accesorios!B72,Ajustes!$O$3:$O$150)+SUMIF(Ajustes!$M$3:$M$150,Accesorios!B72,Ajustes!$Q$3:$Q$150)</f>
        <v>0</v>
      </c>
      <c r="G72" s="44">
        <f t="shared" ref="G72:G103" si="4">E72-D72</f>
        <v>0</v>
      </c>
      <c r="H72" s="53">
        <f t="shared" ref="H72:H103" si="5">IF(C72&lt;&gt;"",0,"")</f>
        <v>0</v>
      </c>
      <c r="I72" s="22" t="str">
        <f>IF(AND(D72="0",E72="0"),"SI",IF(COUNTIF(Ajustes!$M$3:$M$150,B72),"SI",IF(AND(D72=0,E72=0,NOT(ISBLANK(D72)),NOT(ISBLANK(E72))),"SI","")))</f>
        <v>SI</v>
      </c>
    </row>
    <row r="73" spans="1:9" x14ac:dyDescent="0.3">
      <c r="A73" s="43" t="s">
        <v>120</v>
      </c>
      <c r="B73" s="43" t="s">
        <v>255</v>
      </c>
      <c r="C73" s="8">
        <v>45936</v>
      </c>
      <c r="D73" s="3">
        <v>0</v>
      </c>
      <c r="E73" s="3">
        <v>0</v>
      </c>
      <c r="F73" s="25">
        <f>SUMIF(Ajustes!$M$3:$M$150,Accesorios!B73,Ajustes!$O$3:$O$150)+SUMIF(Ajustes!$M$3:$M$150,Accesorios!B73,Ajustes!$Q$3:$Q$150)</f>
        <v>0</v>
      </c>
      <c r="G73" s="44">
        <f t="shared" si="4"/>
        <v>0</v>
      </c>
      <c r="H73" s="53">
        <f t="shared" si="5"/>
        <v>0</v>
      </c>
      <c r="I73" s="22" t="str">
        <f>IF(AND(D73="0",E73="0"),"SI",IF(COUNTIF(Ajustes!$M$3:$M$150,B73),"SI",IF(AND(D73=0,E73=0,NOT(ISBLANK(D73)),NOT(ISBLANK(E73))),"SI","")))</f>
        <v>SI</v>
      </c>
    </row>
    <row r="74" spans="1:9" x14ac:dyDescent="0.3">
      <c r="A74" s="43" t="s">
        <v>120</v>
      </c>
      <c r="B74" s="43" t="s">
        <v>76</v>
      </c>
      <c r="C74" s="8">
        <v>45936</v>
      </c>
      <c r="D74" s="3">
        <v>0</v>
      </c>
      <c r="E74" s="3">
        <v>0</v>
      </c>
      <c r="F74" s="25">
        <f>SUMIF(Ajustes!$M$3:$M$150,Accesorios!B74,Ajustes!$O$3:$O$150)+SUMIF(Ajustes!$M$3:$M$150,Accesorios!B74,Ajustes!$Q$3:$Q$150)</f>
        <v>0</v>
      </c>
      <c r="G74" s="44">
        <f t="shared" si="4"/>
        <v>0</v>
      </c>
      <c r="H74" s="53">
        <f t="shared" si="5"/>
        <v>0</v>
      </c>
      <c r="I74" s="22" t="str">
        <f>IF(AND(D74="0",E74="0"),"SI",IF(COUNTIF(Ajustes!$M$3:$M$150,B74),"SI",IF(AND(D74=0,E74=0,NOT(ISBLANK(D74)),NOT(ISBLANK(E74))),"SI","")))</f>
        <v>SI</v>
      </c>
    </row>
    <row r="75" spans="1:9" x14ac:dyDescent="0.3">
      <c r="A75" s="43" t="s">
        <v>120</v>
      </c>
      <c r="B75" s="43" t="s">
        <v>78</v>
      </c>
      <c r="C75" s="8">
        <v>45936</v>
      </c>
      <c r="D75" s="3">
        <v>0</v>
      </c>
      <c r="E75" s="3">
        <v>0</v>
      </c>
      <c r="F75" s="25">
        <f>SUMIF(Ajustes!$M$3:$M$150,Accesorios!B75,Ajustes!$O$3:$O$150)+SUMIF(Ajustes!$M$3:$M$150,Accesorios!B75,Ajustes!$Q$3:$Q$150)</f>
        <v>0</v>
      </c>
      <c r="G75" s="44">
        <f t="shared" si="4"/>
        <v>0</v>
      </c>
      <c r="H75" s="53">
        <f t="shared" si="5"/>
        <v>0</v>
      </c>
      <c r="I75" s="22" t="str">
        <f>IF(AND(D75="0",E75="0"),"SI",IF(COUNTIF(Ajustes!$M$3:$M$150,B75),"SI",IF(AND(D75=0,E75=0,NOT(ISBLANK(D75)),NOT(ISBLANK(E75))),"SI","")))</f>
        <v>SI</v>
      </c>
    </row>
    <row r="76" spans="1:9" x14ac:dyDescent="0.3">
      <c r="A76" s="43" t="s">
        <v>120</v>
      </c>
      <c r="B76" s="43" t="s">
        <v>256</v>
      </c>
      <c r="C76" s="8">
        <v>45936</v>
      </c>
      <c r="D76" s="3">
        <v>11</v>
      </c>
      <c r="E76" s="3">
        <v>9</v>
      </c>
      <c r="F76" s="25">
        <f>SUMIF(Ajustes!$M$3:$M$150,Accesorios!B76,Ajustes!$O$3:$O$150)+SUMIF(Ajustes!$M$3:$M$150,Accesorios!B76,Ajustes!$Q$3:$Q$150)</f>
        <v>-27246.04</v>
      </c>
      <c r="G76" s="44">
        <f t="shared" si="4"/>
        <v>-2</v>
      </c>
      <c r="H76" s="53">
        <f t="shared" si="5"/>
        <v>0</v>
      </c>
      <c r="I76" s="22" t="str">
        <f>IF(AND(D76="0",E76="0"),"SI",IF(COUNTIF(Ajustes!$M$3:$M$150,B76),"SI",IF(AND(D76=0,E76=0,NOT(ISBLANK(D76)),NOT(ISBLANK(E76))),"SI","")))</f>
        <v>SI</v>
      </c>
    </row>
    <row r="77" spans="1:9" x14ac:dyDescent="0.3">
      <c r="A77" s="43" t="s">
        <v>120</v>
      </c>
      <c r="B77" s="43" t="s">
        <v>40</v>
      </c>
      <c r="C77" s="8">
        <v>45936</v>
      </c>
      <c r="D77" s="3">
        <v>0</v>
      </c>
      <c r="E77" s="3">
        <v>0</v>
      </c>
      <c r="F77" s="25">
        <f>SUMIF(Ajustes!$M$3:$M$150,Accesorios!B77,Ajustes!$O$3:$O$150)+SUMIF(Ajustes!$M$3:$M$150,Accesorios!B77,Ajustes!$Q$3:$Q$150)</f>
        <v>494663.78999999992</v>
      </c>
      <c r="G77" s="44">
        <f t="shared" si="4"/>
        <v>0</v>
      </c>
      <c r="H77" s="53">
        <f t="shared" si="5"/>
        <v>0</v>
      </c>
      <c r="I77" s="22" t="str">
        <f>IF(AND(D77="0",E77="0"),"SI",IF(COUNTIF(Ajustes!$M$3:$M$150,B77),"SI",IF(AND(D77=0,E77=0,NOT(ISBLANK(D77)),NOT(ISBLANK(E77))),"SI","")))</f>
        <v>SI</v>
      </c>
    </row>
    <row r="78" spans="1:9" x14ac:dyDescent="0.3">
      <c r="A78" s="43" t="s">
        <v>120</v>
      </c>
      <c r="B78" s="43" t="s">
        <v>81</v>
      </c>
      <c r="C78" s="8">
        <v>45936</v>
      </c>
      <c r="D78" s="3">
        <v>0</v>
      </c>
      <c r="E78" s="3">
        <v>0</v>
      </c>
      <c r="F78" s="25">
        <f>SUMIF(Ajustes!$M$3:$M$150,Accesorios!B78,Ajustes!$O$3:$O$150)+SUMIF(Ajustes!$M$3:$M$150,Accesorios!B78,Ajustes!$Q$3:$Q$150)</f>
        <v>0</v>
      </c>
      <c r="G78" s="44">
        <f t="shared" si="4"/>
        <v>0</v>
      </c>
      <c r="H78" s="53">
        <f t="shared" si="5"/>
        <v>0</v>
      </c>
      <c r="I78" s="22" t="str">
        <f>IF(AND(D78="0",E78="0"),"SI",IF(COUNTIF(Ajustes!$M$3:$M$150,B78),"SI",IF(AND(D78=0,E78=0,NOT(ISBLANK(D78)),NOT(ISBLANK(E78))),"SI","")))</f>
        <v>SI</v>
      </c>
    </row>
    <row r="79" spans="1:9" x14ac:dyDescent="0.3">
      <c r="A79" s="43" t="s">
        <v>120</v>
      </c>
      <c r="B79" s="43" t="s">
        <v>257</v>
      </c>
      <c r="C79" s="8">
        <v>45936</v>
      </c>
      <c r="D79" s="3">
        <v>6</v>
      </c>
      <c r="E79" s="3">
        <v>6</v>
      </c>
      <c r="F79" s="25">
        <f>SUMIF(Ajustes!$M$3:$M$150,Accesorios!B79,Ajustes!$O$3:$O$150)+SUMIF(Ajustes!$M$3:$M$150,Accesorios!B79,Ajustes!$Q$3:$Q$150)</f>
        <v>0</v>
      </c>
      <c r="G79" s="44">
        <f t="shared" si="4"/>
        <v>0</v>
      </c>
      <c r="H79" s="53">
        <f t="shared" si="5"/>
        <v>0</v>
      </c>
      <c r="I79" s="22" t="str">
        <f>IF(AND(D79="0",E79="0"),"SI",IF(COUNTIF(Ajustes!$M$3:$M$150,B79),"SI",IF(AND(D79=0,E79=0,NOT(ISBLANK(D79)),NOT(ISBLANK(E79))),"SI","")))</f>
        <v>SI</v>
      </c>
    </row>
    <row r="80" spans="1:9" x14ac:dyDescent="0.3">
      <c r="A80" s="43" t="s">
        <v>120</v>
      </c>
      <c r="B80" s="43" t="s">
        <v>133</v>
      </c>
      <c r="C80" s="8">
        <v>45936</v>
      </c>
      <c r="D80" s="3">
        <v>0</v>
      </c>
      <c r="E80" s="3">
        <v>0</v>
      </c>
      <c r="F80" s="25">
        <f>SUMIF(Ajustes!$M$3:$M$150,Accesorios!B80,Ajustes!$O$3:$O$150)+SUMIF(Ajustes!$M$3:$M$150,Accesorios!B80,Ajustes!$Q$3:$Q$150)</f>
        <v>0</v>
      </c>
      <c r="G80" s="44">
        <f t="shared" si="4"/>
        <v>0</v>
      </c>
      <c r="H80" s="53">
        <f t="shared" si="5"/>
        <v>0</v>
      </c>
      <c r="I80" s="22" t="str">
        <f>IF(AND(D80="0",E80="0"),"SI",IF(COUNTIF(Ajustes!$M$3:$M$150,B80),"SI",IF(AND(D80=0,E80=0,NOT(ISBLANK(D80)),NOT(ISBLANK(E80))),"SI","")))</f>
        <v>SI</v>
      </c>
    </row>
    <row r="81" spans="1:9" x14ac:dyDescent="0.3">
      <c r="A81" s="43" t="s">
        <v>120</v>
      </c>
      <c r="B81" s="43" t="s">
        <v>258</v>
      </c>
      <c r="C81" s="8">
        <v>45936</v>
      </c>
      <c r="D81" s="3">
        <v>0</v>
      </c>
      <c r="E81" s="3">
        <v>0</v>
      </c>
      <c r="F81" s="25">
        <f>SUMIF(Ajustes!$M$3:$M$150,Accesorios!B81,Ajustes!$O$3:$O$150)+SUMIF(Ajustes!$M$3:$M$150,Accesorios!B81,Ajustes!$Q$3:$Q$150)</f>
        <v>0</v>
      </c>
      <c r="G81" s="44">
        <f t="shared" si="4"/>
        <v>0</v>
      </c>
      <c r="H81" s="53">
        <f t="shared" si="5"/>
        <v>0</v>
      </c>
      <c r="I81" s="22" t="str">
        <f>IF(AND(D81="0",E81="0"),"SI",IF(COUNTIF(Ajustes!$M$3:$M$150,B81),"SI",IF(AND(D81=0,E81=0,NOT(ISBLANK(D81)),NOT(ISBLANK(E81))),"SI","")))</f>
        <v>SI</v>
      </c>
    </row>
    <row r="82" spans="1:9" x14ac:dyDescent="0.3">
      <c r="A82" s="43" t="s">
        <v>120</v>
      </c>
      <c r="B82" s="43" t="s">
        <v>141</v>
      </c>
      <c r="C82" s="8">
        <v>45936</v>
      </c>
      <c r="D82" s="3">
        <v>0</v>
      </c>
      <c r="E82" s="3">
        <v>0</v>
      </c>
      <c r="F82" s="25">
        <f>SUMIF(Ajustes!$M$3:$M$150,Accesorios!B82,Ajustes!$O$3:$O$150)+SUMIF(Ajustes!$M$3:$M$150,Accesorios!B82,Ajustes!$Q$3:$Q$150)</f>
        <v>0</v>
      </c>
      <c r="G82" s="44">
        <f t="shared" si="4"/>
        <v>0</v>
      </c>
      <c r="H82" s="53">
        <f t="shared" si="5"/>
        <v>0</v>
      </c>
      <c r="I82" s="22" t="str">
        <f>IF(AND(D82="0",E82="0"),"SI",IF(COUNTIF(Ajustes!$M$3:$M$150,B82),"SI",IF(AND(D82=0,E82=0,NOT(ISBLANK(D82)),NOT(ISBLANK(E82))),"SI","")))</f>
        <v>SI</v>
      </c>
    </row>
    <row r="83" spans="1:9" x14ac:dyDescent="0.3">
      <c r="A83" s="43" t="s">
        <v>120</v>
      </c>
      <c r="B83" s="43" t="s">
        <v>93</v>
      </c>
      <c r="C83" s="8">
        <v>45936</v>
      </c>
      <c r="D83" s="3">
        <v>0</v>
      </c>
      <c r="E83" s="3">
        <v>0</v>
      </c>
      <c r="F83" s="25">
        <f>SUMIF(Ajustes!$M$3:$M$150,Accesorios!B83,Ajustes!$O$3:$O$150)+SUMIF(Ajustes!$M$3:$M$150,Accesorios!B83,Ajustes!$Q$3:$Q$150)</f>
        <v>0</v>
      </c>
      <c r="G83" s="44">
        <f t="shared" si="4"/>
        <v>0</v>
      </c>
      <c r="H83" s="53">
        <f t="shared" si="5"/>
        <v>0</v>
      </c>
      <c r="I83" s="22" t="str">
        <f>IF(AND(D83="0",E83="0"),"SI",IF(COUNTIF(Ajustes!$M$3:$M$150,B83),"SI",IF(AND(D83=0,E83=0,NOT(ISBLANK(D83)),NOT(ISBLANK(E83))),"SI","")))</f>
        <v>SI</v>
      </c>
    </row>
    <row r="84" spans="1:9" x14ac:dyDescent="0.3">
      <c r="A84" s="43" t="s">
        <v>120</v>
      </c>
      <c r="B84" s="43" t="s">
        <v>259</v>
      </c>
      <c r="C84" s="8">
        <v>45936</v>
      </c>
      <c r="D84" s="3">
        <v>0</v>
      </c>
      <c r="E84" s="3">
        <v>0</v>
      </c>
      <c r="F84" s="25">
        <f>SUMIF(Ajustes!$M$3:$M$150,Accesorios!B84,Ajustes!$O$3:$O$150)+SUMIF(Ajustes!$M$3:$M$150,Accesorios!B84,Ajustes!$Q$3:$Q$150)</f>
        <v>0</v>
      </c>
      <c r="G84" s="44">
        <f t="shared" si="4"/>
        <v>0</v>
      </c>
      <c r="H84" s="53">
        <f t="shared" si="5"/>
        <v>0</v>
      </c>
      <c r="I84" s="22" t="str">
        <f>IF(AND(D84="0",E84="0"),"SI",IF(COUNTIF(Ajustes!$M$3:$M$150,B84),"SI",IF(AND(D84=0,E84=0,NOT(ISBLANK(D84)),NOT(ISBLANK(E84))),"SI","")))</f>
        <v>SI</v>
      </c>
    </row>
    <row r="85" spans="1:9" x14ac:dyDescent="0.3">
      <c r="A85" s="43" t="s">
        <v>120</v>
      </c>
      <c r="B85" s="43" t="s">
        <v>143</v>
      </c>
      <c r="C85" s="8">
        <v>45936</v>
      </c>
      <c r="D85" s="3">
        <v>0</v>
      </c>
      <c r="E85" s="3">
        <v>0</v>
      </c>
      <c r="F85" s="25">
        <f>SUMIF(Ajustes!$M$3:$M$150,Accesorios!B85,Ajustes!$O$3:$O$150)+SUMIF(Ajustes!$M$3:$M$150,Accesorios!B85,Ajustes!$Q$3:$Q$150)</f>
        <v>0</v>
      </c>
      <c r="G85" s="44">
        <f t="shared" si="4"/>
        <v>0</v>
      </c>
      <c r="H85" s="53">
        <f t="shared" si="5"/>
        <v>0</v>
      </c>
      <c r="I85" s="22" t="str">
        <f>IF(AND(D85="0",E85="0"),"SI",IF(COUNTIF(Ajustes!$M$3:$M$150,B85),"SI",IF(AND(D85=0,E85=0,NOT(ISBLANK(D85)),NOT(ISBLANK(E85))),"SI","")))</f>
        <v>SI</v>
      </c>
    </row>
    <row r="86" spans="1:9" x14ac:dyDescent="0.3">
      <c r="A86" s="43" t="s">
        <v>120</v>
      </c>
      <c r="B86" s="43" t="s">
        <v>260</v>
      </c>
      <c r="C86" s="8">
        <v>45936</v>
      </c>
      <c r="D86" s="3">
        <v>0</v>
      </c>
      <c r="E86" s="3">
        <v>0</v>
      </c>
      <c r="F86" s="25">
        <f>SUMIF(Ajustes!$M$3:$M$150,Accesorios!B86,Ajustes!$O$3:$O$150)+SUMIF(Ajustes!$M$3:$M$150,Accesorios!B86,Ajustes!$Q$3:$Q$150)</f>
        <v>0</v>
      </c>
      <c r="G86" s="44">
        <f t="shared" si="4"/>
        <v>0</v>
      </c>
      <c r="H86" s="53">
        <f t="shared" si="5"/>
        <v>0</v>
      </c>
      <c r="I86" s="22" t="str">
        <f>IF(AND(D86="0",E86="0"),"SI",IF(COUNTIF(Ajustes!$M$3:$M$150,B86),"SI",IF(AND(D86=0,E86=0,NOT(ISBLANK(D86)),NOT(ISBLANK(E86))),"SI","")))</f>
        <v>SI</v>
      </c>
    </row>
    <row r="87" spans="1:9" x14ac:dyDescent="0.3">
      <c r="A87" s="43" t="s">
        <v>120</v>
      </c>
      <c r="B87" s="43" t="s">
        <v>145</v>
      </c>
      <c r="C87" s="8">
        <v>45936</v>
      </c>
      <c r="D87" s="3">
        <v>0</v>
      </c>
      <c r="E87" s="3">
        <v>0</v>
      </c>
      <c r="F87" s="25">
        <f>SUMIF(Ajustes!$M$3:$M$150,Accesorios!B87,Ajustes!$O$3:$O$150)+SUMIF(Ajustes!$M$3:$M$150,Accesorios!B87,Ajustes!$Q$3:$Q$150)</f>
        <v>0</v>
      </c>
      <c r="G87" s="44">
        <f t="shared" si="4"/>
        <v>0</v>
      </c>
      <c r="H87" s="53">
        <f t="shared" si="5"/>
        <v>0</v>
      </c>
      <c r="I87" s="22" t="str">
        <f>IF(AND(D87="0",E87="0"),"SI",IF(COUNTIF(Ajustes!$M$3:$M$150,B87),"SI",IF(AND(D87=0,E87=0,NOT(ISBLANK(D87)),NOT(ISBLANK(E87))),"SI","")))</f>
        <v>SI</v>
      </c>
    </row>
    <row r="88" spans="1:9" x14ac:dyDescent="0.3">
      <c r="A88" s="43" t="s">
        <v>120</v>
      </c>
      <c r="B88" s="43" t="s">
        <v>261</v>
      </c>
      <c r="C88" s="8">
        <v>45936</v>
      </c>
      <c r="D88" s="3">
        <v>0</v>
      </c>
      <c r="E88" s="3">
        <v>0</v>
      </c>
      <c r="F88" s="25">
        <f>SUMIF(Ajustes!$M$3:$M$150,Accesorios!B88,Ajustes!$O$3:$O$150)+SUMIF(Ajustes!$M$3:$M$150,Accesorios!B88,Ajustes!$Q$3:$Q$150)</f>
        <v>0</v>
      </c>
      <c r="G88" s="44">
        <f t="shared" si="4"/>
        <v>0</v>
      </c>
      <c r="H88" s="53">
        <f t="shared" si="5"/>
        <v>0</v>
      </c>
      <c r="I88" s="22" t="str">
        <f>IF(AND(D88="0",E88="0"),"SI",IF(COUNTIF(Ajustes!$M$3:$M$150,B88),"SI",IF(AND(D88=0,E88=0,NOT(ISBLANK(D88)),NOT(ISBLANK(E88))),"SI","")))</f>
        <v>SI</v>
      </c>
    </row>
    <row r="89" spans="1:9" x14ac:dyDescent="0.3">
      <c r="A89" s="43" t="s">
        <v>120</v>
      </c>
      <c r="B89" s="43" t="s">
        <v>146</v>
      </c>
      <c r="C89" s="8">
        <v>45936</v>
      </c>
      <c r="D89" s="3">
        <v>0</v>
      </c>
      <c r="E89" s="3">
        <v>0</v>
      </c>
      <c r="F89" s="25">
        <f>SUMIF(Ajustes!$M$3:$M$150,Accesorios!B89,Ajustes!$O$3:$O$150)+SUMIF(Ajustes!$M$3:$M$150,Accesorios!B89,Ajustes!$Q$3:$Q$150)</f>
        <v>0</v>
      </c>
      <c r="G89" s="44">
        <f t="shared" si="4"/>
        <v>0</v>
      </c>
      <c r="H89" s="53">
        <f t="shared" si="5"/>
        <v>0</v>
      </c>
      <c r="I89" s="22" t="str">
        <f>IF(AND(D89="0",E89="0"),"SI",IF(COUNTIF(Ajustes!$M$3:$M$150,B89),"SI",IF(AND(D89=0,E89=0,NOT(ISBLANK(D89)),NOT(ISBLANK(E89))),"SI","")))</f>
        <v>SI</v>
      </c>
    </row>
    <row r="90" spans="1:9" x14ac:dyDescent="0.3">
      <c r="A90" s="43" t="s">
        <v>120</v>
      </c>
      <c r="B90" s="43" t="s">
        <v>227</v>
      </c>
      <c r="C90" s="8">
        <v>45936</v>
      </c>
      <c r="D90" s="3">
        <v>0</v>
      </c>
      <c r="E90" s="3">
        <v>0</v>
      </c>
      <c r="F90" s="25">
        <f>SUMIF(Ajustes!$M$3:$M$150,Accesorios!B90,Ajustes!$O$3:$O$150)+SUMIF(Ajustes!$M$3:$M$150,Accesorios!B90,Ajustes!$Q$3:$Q$150)</f>
        <v>0</v>
      </c>
      <c r="G90" s="44">
        <f t="shared" si="4"/>
        <v>0</v>
      </c>
      <c r="H90" s="53">
        <f t="shared" si="5"/>
        <v>0</v>
      </c>
      <c r="I90" s="22" t="str">
        <f>IF(AND(D90="0",E90="0"),"SI",IF(COUNTIF(Ajustes!$M$3:$M$150,B90),"SI",IF(AND(D90=0,E90=0,NOT(ISBLANK(D90)),NOT(ISBLANK(E90))),"SI","")))</f>
        <v>SI</v>
      </c>
    </row>
    <row r="91" spans="1:9" x14ac:dyDescent="0.3">
      <c r="A91" s="43" t="s">
        <v>120</v>
      </c>
      <c r="B91" s="43" t="s">
        <v>50</v>
      </c>
      <c r="C91" s="8">
        <v>45936</v>
      </c>
      <c r="D91" s="3">
        <v>0</v>
      </c>
      <c r="E91" s="3">
        <v>0</v>
      </c>
      <c r="F91" s="25">
        <f>SUMIF(Ajustes!$M$3:$M$150,Accesorios!B91,Ajustes!$O$3:$O$150)+SUMIF(Ajustes!$M$3:$M$150,Accesorios!B91,Ajustes!$Q$3:$Q$150)</f>
        <v>0</v>
      </c>
      <c r="G91" s="44">
        <f t="shared" si="4"/>
        <v>0</v>
      </c>
      <c r="H91" s="53">
        <f t="shared" si="5"/>
        <v>0</v>
      </c>
      <c r="I91" s="22" t="str">
        <f>IF(AND(D91="0",E91="0"),"SI",IF(COUNTIF(Ajustes!$M$3:$M$150,B91),"SI",IF(AND(D91=0,E91=0,NOT(ISBLANK(D91)),NOT(ISBLANK(E91))),"SI","")))</f>
        <v>SI</v>
      </c>
    </row>
    <row r="92" spans="1:9" x14ac:dyDescent="0.3">
      <c r="A92" s="43" t="s">
        <v>120</v>
      </c>
      <c r="B92" s="43" t="s">
        <v>101</v>
      </c>
      <c r="C92" s="8">
        <v>45936</v>
      </c>
      <c r="D92" s="3">
        <v>0</v>
      </c>
      <c r="E92" s="3">
        <v>0</v>
      </c>
      <c r="F92" s="25">
        <f>SUMIF(Ajustes!$M$3:$M$150,Accesorios!B92,Ajustes!$O$3:$O$150)+SUMIF(Ajustes!$M$3:$M$150,Accesorios!B92,Ajustes!$Q$3:$Q$150)</f>
        <v>0</v>
      </c>
      <c r="G92" s="44">
        <f t="shared" si="4"/>
        <v>0</v>
      </c>
      <c r="H92" s="53">
        <f t="shared" si="5"/>
        <v>0</v>
      </c>
      <c r="I92" s="22" t="str">
        <f>IF(AND(D92="0",E92="0"),"SI",IF(COUNTIF(Ajustes!$M$3:$M$150,B92),"SI",IF(AND(D92=0,E92=0,NOT(ISBLANK(D92)),NOT(ISBLANK(E92))),"SI","")))</f>
        <v>SI</v>
      </c>
    </row>
    <row r="93" spans="1:9" x14ac:dyDescent="0.3">
      <c r="A93" s="43" t="s">
        <v>120</v>
      </c>
      <c r="B93" s="43" t="s">
        <v>152</v>
      </c>
      <c r="C93" s="8">
        <v>45936</v>
      </c>
      <c r="D93" s="3">
        <v>0</v>
      </c>
      <c r="E93" s="3">
        <v>0</v>
      </c>
      <c r="F93" s="25">
        <f>SUMIF(Ajustes!$M$3:$M$150,Accesorios!B93,Ajustes!$O$3:$O$150)+SUMIF(Ajustes!$M$3:$M$150,Accesorios!B93,Ajustes!$Q$3:$Q$150)</f>
        <v>0</v>
      </c>
      <c r="G93" s="44">
        <f t="shared" si="4"/>
        <v>0</v>
      </c>
      <c r="H93" s="53">
        <f t="shared" si="5"/>
        <v>0</v>
      </c>
      <c r="I93" s="22" t="str">
        <f>IF(AND(D93="0",E93="0"),"SI",IF(COUNTIF(Ajustes!$M$3:$M$150,B93),"SI",IF(AND(D93=0,E93=0,NOT(ISBLANK(D93)),NOT(ISBLANK(E93))),"SI","")))</f>
        <v>SI</v>
      </c>
    </row>
    <row r="94" spans="1:9" x14ac:dyDescent="0.3">
      <c r="A94" s="43" t="s">
        <v>120</v>
      </c>
      <c r="B94" s="43" t="s">
        <v>262</v>
      </c>
      <c r="C94" s="8">
        <v>45936</v>
      </c>
      <c r="D94" s="3">
        <v>0</v>
      </c>
      <c r="E94" s="3">
        <v>0</v>
      </c>
      <c r="F94" s="25">
        <f>SUMIF(Ajustes!$M$3:$M$150,Accesorios!B94,Ajustes!$O$3:$O$150)+SUMIF(Ajustes!$M$3:$M$150,Accesorios!B94,Ajustes!$Q$3:$Q$150)</f>
        <v>0</v>
      </c>
      <c r="G94" s="44">
        <f t="shared" si="4"/>
        <v>0</v>
      </c>
      <c r="H94" s="53">
        <f t="shared" si="5"/>
        <v>0</v>
      </c>
      <c r="I94" s="22" t="str">
        <f>IF(AND(D94="0",E94="0"),"SI",IF(COUNTIF(Ajustes!$M$3:$M$150,B94),"SI",IF(AND(D94=0,E94=0,NOT(ISBLANK(D94)),NOT(ISBLANK(E94))),"SI","")))</f>
        <v>SI</v>
      </c>
    </row>
    <row r="95" spans="1:9" x14ac:dyDescent="0.3">
      <c r="A95" s="43" t="s">
        <v>120</v>
      </c>
      <c r="B95" s="43" t="s">
        <v>52</v>
      </c>
      <c r="C95" s="8">
        <v>45936</v>
      </c>
      <c r="D95" s="3">
        <v>0</v>
      </c>
      <c r="E95" s="3">
        <v>0</v>
      </c>
      <c r="F95" s="25">
        <f>SUMIF(Ajustes!$M$3:$M$150,Accesorios!B95,Ajustes!$O$3:$O$150)+SUMIF(Ajustes!$M$3:$M$150,Accesorios!B95,Ajustes!$Q$3:$Q$150)</f>
        <v>0</v>
      </c>
      <c r="G95" s="44">
        <f t="shared" si="4"/>
        <v>0</v>
      </c>
      <c r="H95" s="53">
        <f t="shared" si="5"/>
        <v>0</v>
      </c>
      <c r="I95" s="22" t="str">
        <f>IF(AND(D95="0",E95="0"),"SI",IF(COUNTIF(Ajustes!$M$3:$M$150,B95),"SI",IF(AND(D95=0,E95=0,NOT(ISBLANK(D95)),NOT(ISBLANK(E95))),"SI","")))</f>
        <v>SI</v>
      </c>
    </row>
    <row r="96" spans="1:9" x14ac:dyDescent="0.3">
      <c r="A96" s="43" t="s">
        <v>120</v>
      </c>
      <c r="B96" s="43" t="s">
        <v>105</v>
      </c>
      <c r="C96" s="8">
        <v>45936</v>
      </c>
      <c r="D96" s="3">
        <v>0</v>
      </c>
      <c r="E96" s="3">
        <v>0</v>
      </c>
      <c r="F96" s="25">
        <f>SUMIF(Ajustes!$M$3:$M$150,Accesorios!B96,Ajustes!$O$3:$O$150)+SUMIF(Ajustes!$M$3:$M$150,Accesorios!B96,Ajustes!$Q$3:$Q$150)</f>
        <v>0</v>
      </c>
      <c r="G96" s="44">
        <f t="shared" si="4"/>
        <v>0</v>
      </c>
      <c r="H96" s="53">
        <f t="shared" si="5"/>
        <v>0</v>
      </c>
      <c r="I96" s="22" t="str">
        <f>IF(AND(D96="0",E96="0"),"SI",IF(COUNTIF(Ajustes!$M$3:$M$150,B96),"SI",IF(AND(D96=0,E96=0,NOT(ISBLANK(D96)),NOT(ISBLANK(E96))),"SI","")))</f>
        <v>SI</v>
      </c>
    </row>
    <row r="97" spans="1:9" x14ac:dyDescent="0.3">
      <c r="A97" s="43" t="s">
        <v>120</v>
      </c>
      <c r="B97" s="43" t="s">
        <v>263</v>
      </c>
      <c r="C97" s="8">
        <v>45936</v>
      </c>
      <c r="D97" s="3">
        <v>2</v>
      </c>
      <c r="E97" s="3">
        <v>3</v>
      </c>
      <c r="F97" s="25">
        <f>SUMIF(Ajustes!$M$3:$M$150,Accesorios!B97,Ajustes!$O$3:$O$150)+SUMIF(Ajustes!$M$3:$M$150,Accesorios!B97,Ajustes!$Q$3:$Q$150)</f>
        <v>4351</v>
      </c>
      <c r="G97" s="44">
        <f t="shared" si="4"/>
        <v>1</v>
      </c>
      <c r="H97" s="53">
        <f t="shared" si="5"/>
        <v>0</v>
      </c>
      <c r="I97" s="22" t="str">
        <f>IF(AND(D97="0",E97="0"),"SI",IF(COUNTIF(Ajustes!$M$3:$M$150,B97),"SI",IF(AND(D97=0,E97=0,NOT(ISBLANK(D97)),NOT(ISBLANK(E97))),"SI","")))</f>
        <v>SI</v>
      </c>
    </row>
    <row r="98" spans="1:9" x14ac:dyDescent="0.3">
      <c r="A98" s="43" t="s">
        <v>120</v>
      </c>
      <c r="B98" s="43" t="s">
        <v>156</v>
      </c>
      <c r="C98" s="8">
        <v>45936</v>
      </c>
      <c r="D98" s="3">
        <v>0</v>
      </c>
      <c r="E98" s="3">
        <v>0</v>
      </c>
      <c r="F98" s="25">
        <f>SUMIF(Ajustes!$M$3:$M$150,Accesorios!B98,Ajustes!$O$3:$O$150)+SUMIF(Ajustes!$M$3:$M$150,Accesorios!B98,Ajustes!$Q$3:$Q$150)</f>
        <v>0</v>
      </c>
      <c r="G98" s="44">
        <f t="shared" si="4"/>
        <v>0</v>
      </c>
      <c r="H98" s="53">
        <f t="shared" si="5"/>
        <v>0</v>
      </c>
      <c r="I98" s="22" t="str">
        <f>IF(AND(D98="0",E98="0"),"SI",IF(COUNTIF(Ajustes!$M$3:$M$150,B98),"SI",IF(AND(D98=0,E98=0,NOT(ISBLANK(D98)),NOT(ISBLANK(E98))),"SI","")))</f>
        <v>SI</v>
      </c>
    </row>
    <row r="99" spans="1:9" x14ac:dyDescent="0.3">
      <c r="A99" s="43" t="s">
        <v>120</v>
      </c>
      <c r="B99" s="43" t="s">
        <v>264</v>
      </c>
      <c r="C99" s="8">
        <v>45936</v>
      </c>
      <c r="D99" s="3">
        <v>2</v>
      </c>
      <c r="E99" s="3">
        <v>2</v>
      </c>
      <c r="F99" s="25">
        <f>SUMIF(Ajustes!$M$3:$M$150,Accesorios!B99,Ajustes!$O$3:$O$150)+SUMIF(Ajustes!$M$3:$M$150,Accesorios!B99,Ajustes!$Q$3:$Q$150)</f>
        <v>0</v>
      </c>
      <c r="G99" s="44">
        <f t="shared" si="4"/>
        <v>0</v>
      </c>
      <c r="H99" s="53">
        <f t="shared" si="5"/>
        <v>0</v>
      </c>
      <c r="I99" s="22" t="str">
        <f>IF(AND(D99="0",E99="0"),"SI",IF(COUNTIF(Ajustes!$M$3:$M$150,B99),"SI",IF(AND(D99=0,E99=0,NOT(ISBLANK(D99)),NOT(ISBLANK(E99))),"SI","")))</f>
        <v>SI</v>
      </c>
    </row>
    <row r="100" spans="1:9" x14ac:dyDescent="0.3">
      <c r="A100" s="43" t="s">
        <v>120</v>
      </c>
      <c r="B100" s="43" t="s">
        <v>265</v>
      </c>
      <c r="C100" s="8">
        <v>45936</v>
      </c>
      <c r="D100" s="3">
        <v>1</v>
      </c>
      <c r="E100" s="3">
        <v>0</v>
      </c>
      <c r="F100" s="25">
        <f>SUMIF(Ajustes!$M$3:$M$150,Accesorios!B100,Ajustes!$O$3:$O$150)+SUMIF(Ajustes!$M$3:$M$150,Accesorios!B100,Ajustes!$Q$3:$Q$150)</f>
        <v>-11738.95</v>
      </c>
      <c r="G100" s="44">
        <f t="shared" si="4"/>
        <v>-1</v>
      </c>
      <c r="H100" s="53">
        <f t="shared" si="5"/>
        <v>0</v>
      </c>
      <c r="I100" s="22" t="str">
        <f>IF(AND(D100="0",E100="0"),"SI",IF(COUNTIF(Ajustes!$M$3:$M$150,B100),"SI",IF(AND(D100=0,E100=0,NOT(ISBLANK(D100)),NOT(ISBLANK(E100))),"SI","")))</f>
        <v>SI</v>
      </c>
    </row>
    <row r="101" spans="1:9" x14ac:dyDescent="0.3">
      <c r="A101" s="43" t="s">
        <v>120</v>
      </c>
      <c r="B101" s="43" t="s">
        <v>158</v>
      </c>
      <c r="C101" s="8">
        <v>45936</v>
      </c>
      <c r="D101" s="3">
        <v>0</v>
      </c>
      <c r="E101" s="3">
        <v>0</v>
      </c>
      <c r="F101" s="25">
        <f>SUMIF(Ajustes!$M$3:$M$150,Accesorios!B101,Ajustes!$O$3:$O$150)+SUMIF(Ajustes!$M$3:$M$150,Accesorios!B101,Ajustes!$Q$3:$Q$150)</f>
        <v>0</v>
      </c>
      <c r="G101" s="44">
        <f t="shared" si="4"/>
        <v>0</v>
      </c>
      <c r="H101" s="53">
        <f t="shared" si="5"/>
        <v>0</v>
      </c>
      <c r="I101" s="22" t="str">
        <f>IF(AND(D101="0",E101="0"),"SI",IF(COUNTIF(Ajustes!$M$3:$M$150,B101),"SI",IF(AND(D101=0,E101=0,NOT(ISBLANK(D101)),NOT(ISBLANK(E101))),"SI","")))</f>
        <v>SI</v>
      </c>
    </row>
    <row r="102" spans="1:9" x14ac:dyDescent="0.3">
      <c r="A102" s="43" t="s">
        <v>120</v>
      </c>
      <c r="B102" s="43" t="s">
        <v>266</v>
      </c>
      <c r="C102" s="8">
        <v>45936</v>
      </c>
      <c r="D102" s="3">
        <v>0</v>
      </c>
      <c r="E102" s="3">
        <v>0</v>
      </c>
      <c r="F102" s="25">
        <f>SUMIF(Ajustes!$M$3:$M$150,Accesorios!B102,Ajustes!$O$3:$O$150)+SUMIF(Ajustes!$M$3:$M$150,Accesorios!B102,Ajustes!$Q$3:$Q$150)</f>
        <v>0</v>
      </c>
      <c r="G102" s="44">
        <f t="shared" si="4"/>
        <v>0</v>
      </c>
      <c r="H102" s="53">
        <f t="shared" si="5"/>
        <v>0</v>
      </c>
      <c r="I102" s="22" t="str">
        <f>IF(AND(D102="0",E102="0"),"SI",IF(COUNTIF(Ajustes!$M$3:$M$150,B102),"SI",IF(AND(D102=0,E102=0,NOT(ISBLANK(D102)),NOT(ISBLANK(E102))),"SI","")))</f>
        <v>SI</v>
      </c>
    </row>
    <row r="103" spans="1:9" x14ac:dyDescent="0.3">
      <c r="A103" s="43" t="s">
        <v>120</v>
      </c>
      <c r="B103" s="43" t="s">
        <v>59</v>
      </c>
      <c r="C103" s="8">
        <v>45936</v>
      </c>
      <c r="D103" s="3">
        <v>0</v>
      </c>
      <c r="E103" s="3">
        <v>0</v>
      </c>
      <c r="F103" s="25">
        <f>SUMIF(Ajustes!$M$3:$M$150,Accesorios!B103,Ajustes!$O$3:$O$150)+SUMIF(Ajustes!$M$3:$M$150,Accesorios!B103,Ajustes!$Q$3:$Q$150)</f>
        <v>0</v>
      </c>
      <c r="G103" s="44">
        <f t="shared" si="4"/>
        <v>0</v>
      </c>
      <c r="H103" s="53">
        <f t="shared" si="5"/>
        <v>0</v>
      </c>
      <c r="I103" s="22" t="str">
        <f>IF(AND(D103="0",E103="0"),"SI",IF(COUNTIF(Ajustes!$M$3:$M$150,B103),"SI",IF(AND(D103=0,E103=0,NOT(ISBLANK(D103)),NOT(ISBLANK(E103))),"SI","")))</f>
        <v>SI</v>
      </c>
    </row>
    <row r="104" spans="1:9" x14ac:dyDescent="0.3">
      <c r="A104" s="43" t="s">
        <v>120</v>
      </c>
      <c r="B104" s="43" t="s">
        <v>267</v>
      </c>
      <c r="C104" s="8">
        <v>45936</v>
      </c>
      <c r="D104" s="3">
        <v>21</v>
      </c>
      <c r="E104" s="3">
        <v>20</v>
      </c>
      <c r="F104" s="25">
        <f>SUMIF(Ajustes!$M$3:$M$150,Accesorios!B104,Ajustes!$O$3:$O$150)+SUMIF(Ajustes!$M$3:$M$150,Accesorios!B104,Ajustes!$Q$3:$Q$150)</f>
        <v>-73521</v>
      </c>
      <c r="G104" s="44">
        <f t="shared" ref="G104:G123" si="6">E104-D104</f>
        <v>-1</v>
      </c>
      <c r="H104" s="53">
        <f t="shared" ref="H104:H123" si="7">IF(C104&lt;&gt;"",0,"")</f>
        <v>0</v>
      </c>
      <c r="I104" s="22" t="str">
        <f>IF(AND(D104="0",E104="0"),"SI",IF(COUNTIF(Ajustes!$M$3:$M$150,B104),"SI",IF(AND(D104=0,E104=0,NOT(ISBLANK(D104)),NOT(ISBLANK(E104))),"SI","")))</f>
        <v>SI</v>
      </c>
    </row>
    <row r="105" spans="1:9" x14ac:dyDescent="0.3">
      <c r="A105" s="43" t="s">
        <v>120</v>
      </c>
      <c r="B105" s="43" t="s">
        <v>160</v>
      </c>
      <c r="C105" s="8">
        <v>45936</v>
      </c>
      <c r="D105" s="3">
        <v>0</v>
      </c>
      <c r="E105" s="3">
        <v>0</v>
      </c>
      <c r="F105" s="25">
        <f>SUMIF(Ajustes!$M$3:$M$150,Accesorios!B105,Ajustes!$O$3:$O$150)+SUMIF(Ajustes!$M$3:$M$150,Accesorios!B105,Ajustes!$Q$3:$Q$150)</f>
        <v>0</v>
      </c>
      <c r="G105" s="44">
        <f t="shared" si="6"/>
        <v>0</v>
      </c>
      <c r="H105" s="53">
        <f t="shared" si="7"/>
        <v>0</v>
      </c>
      <c r="I105" s="22" t="str">
        <f>IF(AND(D105="0",E105="0"),"SI",IF(COUNTIF(Ajustes!$M$3:$M$150,B105),"SI",IF(AND(D105=0,E105=0,NOT(ISBLANK(D105)),NOT(ISBLANK(E105))),"SI","")))</f>
        <v>SI</v>
      </c>
    </row>
    <row r="106" spans="1:9" x14ac:dyDescent="0.3">
      <c r="A106" s="43" t="s">
        <v>120</v>
      </c>
      <c r="B106" s="43" t="s">
        <v>268</v>
      </c>
      <c r="C106" s="8">
        <v>45936</v>
      </c>
      <c r="D106" s="3">
        <v>0</v>
      </c>
      <c r="E106" s="3">
        <v>0</v>
      </c>
      <c r="F106" s="25">
        <f>SUMIF(Ajustes!$M$3:$M$150,Accesorios!B106,Ajustes!$O$3:$O$150)+SUMIF(Ajustes!$M$3:$M$150,Accesorios!B106,Ajustes!$Q$3:$Q$150)</f>
        <v>0</v>
      </c>
      <c r="G106" s="44">
        <f t="shared" si="6"/>
        <v>0</v>
      </c>
      <c r="H106" s="53">
        <f t="shared" si="7"/>
        <v>0</v>
      </c>
      <c r="I106" s="22" t="str">
        <f>IF(AND(D106="0",E106="0"),"SI",IF(COUNTIF(Ajustes!$M$3:$M$150,B106),"SI",IF(AND(D106=0,E106=0,NOT(ISBLANK(D106)),NOT(ISBLANK(E106))),"SI","")))</f>
        <v>SI</v>
      </c>
    </row>
    <row r="107" spans="1:9" x14ac:dyDescent="0.3">
      <c r="A107" s="43" t="s">
        <v>120</v>
      </c>
      <c r="B107" s="43" t="s">
        <v>113</v>
      </c>
      <c r="C107" s="8">
        <v>45936</v>
      </c>
      <c r="D107" s="3">
        <v>0</v>
      </c>
      <c r="E107" s="3">
        <v>0</v>
      </c>
      <c r="F107" s="25">
        <f>SUMIF(Ajustes!$M$3:$M$150,Accesorios!B107,Ajustes!$O$3:$O$150)+SUMIF(Ajustes!$M$3:$M$150,Accesorios!B107,Ajustes!$Q$3:$Q$150)</f>
        <v>0</v>
      </c>
      <c r="G107" s="44">
        <f t="shared" si="6"/>
        <v>0</v>
      </c>
      <c r="H107" s="53">
        <f t="shared" si="7"/>
        <v>0</v>
      </c>
      <c r="I107" s="22" t="str">
        <f>IF(AND(D107="0",E107="0"),"SI",IF(COUNTIF(Ajustes!$M$3:$M$150,B107),"SI",IF(AND(D107=0,E107=0,NOT(ISBLANK(D107)),NOT(ISBLANK(E107))),"SI","")))</f>
        <v>SI</v>
      </c>
    </row>
    <row r="108" spans="1:9" x14ac:dyDescent="0.3">
      <c r="A108" s="43" t="s">
        <v>120</v>
      </c>
      <c r="B108" s="43" t="s">
        <v>269</v>
      </c>
      <c r="C108" s="8">
        <v>45936</v>
      </c>
      <c r="D108" s="3">
        <v>3</v>
      </c>
      <c r="E108" s="3">
        <v>3</v>
      </c>
      <c r="F108" s="25">
        <f>SUMIF(Ajustes!$M$3:$M$150,Accesorios!B108,Ajustes!$O$3:$O$150)+SUMIF(Ajustes!$M$3:$M$150,Accesorios!B108,Ajustes!$Q$3:$Q$150)</f>
        <v>0</v>
      </c>
      <c r="G108" s="44">
        <f t="shared" si="6"/>
        <v>0</v>
      </c>
      <c r="H108" s="53">
        <f t="shared" si="7"/>
        <v>0</v>
      </c>
      <c r="I108" s="22" t="str">
        <f>IF(AND(D108="0",E108="0"),"SI",IF(COUNTIF(Ajustes!$M$3:$M$150,B108),"SI",IF(AND(D108=0,E108=0,NOT(ISBLANK(D108)),NOT(ISBLANK(E108))),"SI","")))</f>
        <v>SI</v>
      </c>
    </row>
    <row r="109" spans="1:9" x14ac:dyDescent="0.3">
      <c r="A109" s="43" t="s">
        <v>120</v>
      </c>
      <c r="B109" s="43" t="s">
        <v>270</v>
      </c>
      <c r="C109" s="8">
        <v>45936</v>
      </c>
      <c r="D109" s="3">
        <v>5</v>
      </c>
      <c r="E109" s="3">
        <v>4</v>
      </c>
      <c r="F109" s="25">
        <f>SUMIF(Ajustes!$M$3:$M$150,Accesorios!B109,Ajustes!$O$3:$O$150)+SUMIF(Ajustes!$M$3:$M$150,Accesorios!B109,Ajustes!$Q$3:$Q$150)</f>
        <v>-20400.09</v>
      </c>
      <c r="G109" s="44">
        <f t="shared" si="6"/>
        <v>-1</v>
      </c>
      <c r="H109" s="53">
        <f t="shared" si="7"/>
        <v>0</v>
      </c>
      <c r="I109" s="22" t="str">
        <f>IF(AND(D109="0",E109="0"),"SI",IF(COUNTIF(Ajustes!$M$3:$M$150,B109),"SI",IF(AND(D109=0,E109=0,NOT(ISBLANK(D109)),NOT(ISBLANK(E109))),"SI","")))</f>
        <v>SI</v>
      </c>
    </row>
    <row r="110" spans="1:9" x14ac:dyDescent="0.3">
      <c r="A110" s="43" t="s">
        <v>120</v>
      </c>
      <c r="B110" s="43" t="s">
        <v>119</v>
      </c>
      <c r="C110" s="8">
        <v>45936</v>
      </c>
      <c r="D110" s="3">
        <v>0</v>
      </c>
      <c r="E110" s="3">
        <v>0</v>
      </c>
      <c r="F110" s="25">
        <f>SUMIF(Ajustes!$M$3:$M$150,Accesorios!B110,Ajustes!$O$3:$O$150)+SUMIF(Ajustes!$M$3:$M$150,Accesorios!B110,Ajustes!$Q$3:$Q$150)</f>
        <v>0</v>
      </c>
      <c r="G110" s="44">
        <f t="shared" si="6"/>
        <v>0</v>
      </c>
      <c r="H110" s="53">
        <f t="shared" si="7"/>
        <v>0</v>
      </c>
      <c r="I110" s="22" t="str">
        <f>IF(AND(D110="0",E110="0"),"SI",IF(COUNTIF(Ajustes!$M$3:$M$150,B110),"SI",IF(AND(D110=0,E110=0,NOT(ISBLANK(D110)),NOT(ISBLANK(E110))),"SI","")))</f>
        <v>SI</v>
      </c>
    </row>
    <row r="111" spans="1:9" x14ac:dyDescent="0.3">
      <c r="A111" s="43" t="s">
        <v>120</v>
      </c>
      <c r="B111" s="43" t="s">
        <v>271</v>
      </c>
      <c r="C111" s="8">
        <v>45936</v>
      </c>
      <c r="D111" s="3">
        <v>0</v>
      </c>
      <c r="E111" s="3">
        <v>0</v>
      </c>
      <c r="F111" s="25">
        <f>SUMIF(Ajustes!$M$3:$M$150,Accesorios!B111,Ajustes!$O$3:$O$150)+SUMIF(Ajustes!$M$3:$M$150,Accesorios!B111,Ajustes!$Q$3:$Q$150)</f>
        <v>0</v>
      </c>
      <c r="G111" s="44">
        <f t="shared" si="6"/>
        <v>0</v>
      </c>
      <c r="H111" s="53">
        <f t="shared" si="7"/>
        <v>0</v>
      </c>
      <c r="I111" s="22" t="str">
        <f>IF(AND(D111="0",E111="0"),"SI",IF(COUNTIF(Ajustes!$M$3:$M$150,B111),"SI",IF(AND(D111=0,E111=0,NOT(ISBLANK(D111)),NOT(ISBLANK(E111))),"SI","")))</f>
        <v>SI</v>
      </c>
    </row>
    <row r="112" spans="1:9" x14ac:dyDescent="0.3">
      <c r="A112" s="43" t="s">
        <v>120</v>
      </c>
      <c r="B112" s="43" t="s">
        <v>272</v>
      </c>
      <c r="C112" s="8">
        <v>45945</v>
      </c>
      <c r="D112" s="3">
        <v>0</v>
      </c>
      <c r="E112" s="3">
        <v>0</v>
      </c>
      <c r="F112" s="25">
        <f>SUMIF(Ajustes!$M$3:$M$150,Accesorios!B112,Ajustes!$O$3:$O$150)+SUMIF(Ajustes!$M$3:$M$150,Accesorios!B112,Ajustes!$Q$3:$Q$150)</f>
        <v>0</v>
      </c>
      <c r="G112" s="44">
        <f t="shared" si="6"/>
        <v>0</v>
      </c>
      <c r="H112" s="53">
        <f t="shared" si="7"/>
        <v>0</v>
      </c>
      <c r="I112" s="22" t="str">
        <f>IF(AND(D112="0",E112="0"),"SI",IF(COUNTIF(Ajustes!$M$3:$M$150,B112),"SI",IF(AND(D112=0,E112=0,NOT(ISBLANK(D112)),NOT(ISBLANK(E112))),"SI","")))</f>
        <v>SI</v>
      </c>
    </row>
    <row r="113" spans="1:9" x14ac:dyDescent="0.3">
      <c r="A113" s="43" t="s">
        <v>120</v>
      </c>
      <c r="B113" s="43" t="s">
        <v>273</v>
      </c>
      <c r="C113" s="8">
        <v>45936</v>
      </c>
      <c r="D113" s="3">
        <v>59</v>
      </c>
      <c r="E113" s="3">
        <v>49</v>
      </c>
      <c r="F113" s="25">
        <f>SUMIF(Ajustes!$M$3:$M$150,Accesorios!B113,Ajustes!$O$3:$O$150)+SUMIF(Ajustes!$M$3:$M$150,Accesorios!B113,Ajustes!$Q$3:$Q$150)</f>
        <v>-165847.03</v>
      </c>
      <c r="G113" s="44">
        <f t="shared" si="6"/>
        <v>-10</v>
      </c>
      <c r="H113" s="53">
        <f t="shared" si="7"/>
        <v>0</v>
      </c>
      <c r="I113" s="22" t="str">
        <f>IF(AND(D113="0",E113="0"),"SI",IF(COUNTIF(Ajustes!$M$3:$M$150,B113),"SI",IF(AND(D113=0,E113=0,NOT(ISBLANK(D113)),NOT(ISBLANK(E113))),"SI","")))</f>
        <v>SI</v>
      </c>
    </row>
    <row r="114" spans="1:9" x14ac:dyDescent="0.3">
      <c r="A114" s="56"/>
      <c r="B114" s="56"/>
      <c r="C114" s="8"/>
      <c r="D114" s="3"/>
      <c r="E114" s="3"/>
      <c r="F114" s="25">
        <f>SUMIF(Ajustes!$M$3:$M$150,Accesorios!B114,Ajustes!$O$3:$O$150)+SUMIF(Ajustes!$M$3:$M$150,Accesorios!B114,Ajustes!$Q$3:$Q$150)</f>
        <v>0</v>
      </c>
      <c r="G114" s="44">
        <f t="shared" si="6"/>
        <v>0</v>
      </c>
      <c r="H114" s="53" t="str">
        <f t="shared" si="7"/>
        <v/>
      </c>
      <c r="I114" s="22" t="str">
        <f>IF(AND(D114="0",E114="0"),"SI",IF(COUNTIF(Ajustes!$M$3:$M$150,B114),"SI",IF(AND(D114=0,E114=0,NOT(ISBLANK(D114)),NOT(ISBLANK(E114))),"SI","")))</f>
        <v/>
      </c>
    </row>
    <row r="115" spans="1:9" x14ac:dyDescent="0.3">
      <c r="A115" s="56"/>
      <c r="B115" s="56"/>
      <c r="C115" s="8"/>
      <c r="D115" s="3"/>
      <c r="E115" s="3"/>
      <c r="F115" s="25">
        <f>SUMIF(Ajustes!$M$3:$M$150,Accesorios!B115,Ajustes!$O$3:$O$150)+SUMIF(Ajustes!$M$3:$M$150,Accesorios!B115,Ajustes!$Q$3:$Q$150)</f>
        <v>0</v>
      </c>
      <c r="G115" s="44">
        <f t="shared" si="6"/>
        <v>0</v>
      </c>
      <c r="H115" s="53" t="str">
        <f t="shared" si="7"/>
        <v/>
      </c>
      <c r="I115" s="22" t="str">
        <f>IF(AND(D115="0",E115="0"),"SI",IF(COUNTIF(Ajustes!$M$3:$M$150,B115),"SI",IF(AND(D115=0,E115=0,NOT(ISBLANK(D115)),NOT(ISBLANK(E115))),"SI","")))</f>
        <v/>
      </c>
    </row>
    <row r="116" spans="1:9" x14ac:dyDescent="0.3">
      <c r="A116" s="56"/>
      <c r="B116" s="56"/>
      <c r="C116" s="8"/>
      <c r="D116" s="3"/>
      <c r="E116" s="3"/>
      <c r="F116" s="25">
        <f>SUMIF(Ajustes!$M$3:$M$150,Accesorios!B116,Ajustes!$O$3:$O$150)+SUMIF(Ajustes!$M$3:$M$150,Accesorios!B116,Ajustes!$Q$3:$Q$150)</f>
        <v>0</v>
      </c>
      <c r="G116" s="44">
        <f t="shared" si="6"/>
        <v>0</v>
      </c>
      <c r="H116" s="53" t="str">
        <f t="shared" si="7"/>
        <v/>
      </c>
      <c r="I116" s="22" t="str">
        <f>IF(AND(D116="0",E116="0"),"SI",IF(COUNTIF(Ajustes!$M$3:$M$150,B116),"SI",IF(AND(D116=0,E116=0,NOT(ISBLANK(D116)),NOT(ISBLANK(E116))),"SI","")))</f>
        <v/>
      </c>
    </row>
    <row r="117" spans="1:9" x14ac:dyDescent="0.3">
      <c r="A117" s="56"/>
      <c r="B117" s="56"/>
      <c r="C117" s="8"/>
      <c r="D117" s="3"/>
      <c r="E117" s="3"/>
      <c r="F117" s="25">
        <f>SUMIF(Ajustes!$M$3:$M$150,Accesorios!B117,Ajustes!$O$3:$O$150)+SUMIF(Ajustes!$M$3:$M$150,Accesorios!B117,Ajustes!$Q$3:$Q$150)</f>
        <v>0</v>
      </c>
      <c r="G117" s="44">
        <f t="shared" si="6"/>
        <v>0</v>
      </c>
      <c r="H117" s="53" t="str">
        <f t="shared" si="7"/>
        <v/>
      </c>
      <c r="I117" s="22" t="str">
        <f>IF(AND(D117="0",E117="0"),"SI",IF(COUNTIF(Ajustes!$M$3:$M$150,B117),"SI",IF(AND(D117=0,E117=0,NOT(ISBLANK(D117)),NOT(ISBLANK(E117))),"SI","")))</f>
        <v/>
      </c>
    </row>
    <row r="118" spans="1:9" x14ac:dyDescent="0.3">
      <c r="A118" s="56"/>
      <c r="B118" s="56"/>
      <c r="C118" s="8"/>
      <c r="D118" s="3"/>
      <c r="E118" s="3"/>
      <c r="F118" s="25">
        <f>SUMIF(Ajustes!$M$3:$M$150,Accesorios!B118,Ajustes!$O$3:$O$150)+SUMIF(Ajustes!$M$3:$M$150,Accesorios!B118,Ajustes!$Q$3:$Q$150)</f>
        <v>0</v>
      </c>
      <c r="G118" s="44">
        <f t="shared" si="6"/>
        <v>0</v>
      </c>
      <c r="H118" s="53" t="str">
        <f t="shared" si="7"/>
        <v/>
      </c>
      <c r="I118" s="22" t="str">
        <f>IF(AND(D118="0",E118="0"),"SI",IF(COUNTIF(Ajustes!$M$3:$M$150,B118),"SI",IF(AND(D118=0,E118=0,NOT(ISBLANK(D118)),NOT(ISBLANK(E118))),"SI","")))</f>
        <v/>
      </c>
    </row>
    <row r="119" spans="1:9" x14ac:dyDescent="0.3">
      <c r="A119" s="56"/>
      <c r="B119" s="56"/>
      <c r="C119" s="8"/>
      <c r="D119" s="3"/>
      <c r="E119" s="3"/>
      <c r="F119" s="25">
        <f>SUMIF(Ajustes!$M$3:$M$150,Accesorios!B119,Ajustes!$O$3:$O$150)+SUMIF(Ajustes!$M$3:$M$150,Accesorios!B119,Ajustes!$Q$3:$Q$150)</f>
        <v>0</v>
      </c>
      <c r="G119" s="44">
        <f t="shared" si="6"/>
        <v>0</v>
      </c>
      <c r="H119" s="53" t="str">
        <f t="shared" si="7"/>
        <v/>
      </c>
      <c r="I119" s="22" t="str">
        <f>IF(AND(D119="0",E119="0"),"SI",IF(COUNTIF(Ajustes!$M$3:$M$150,B119),"SI",IF(AND(D119=0,E119=0,NOT(ISBLANK(D119)),NOT(ISBLANK(E119))),"SI","")))</f>
        <v/>
      </c>
    </row>
    <row r="120" spans="1:9" x14ac:dyDescent="0.3">
      <c r="A120" s="56"/>
      <c r="B120" s="56"/>
      <c r="C120" s="8"/>
      <c r="D120" s="3"/>
      <c r="E120" s="3"/>
      <c r="F120" s="25">
        <f>SUMIF(Ajustes!$M$3:$M$150,Accesorios!B120,Ajustes!$O$3:$O$150)+SUMIF(Ajustes!$M$3:$M$150,Accesorios!B120,Ajustes!$Q$3:$Q$150)</f>
        <v>0</v>
      </c>
      <c r="G120" s="44">
        <f t="shared" si="6"/>
        <v>0</v>
      </c>
      <c r="H120" s="53" t="str">
        <f t="shared" si="7"/>
        <v/>
      </c>
      <c r="I120" s="22" t="str">
        <f>IF(AND(D120="0",E120="0"),"SI",IF(COUNTIF(Ajustes!$M$3:$M$150,B120),"SI",IF(AND(D120=0,E120=0,NOT(ISBLANK(D120)),NOT(ISBLANK(E120))),"SI","")))</f>
        <v/>
      </c>
    </row>
    <row r="121" spans="1:9" x14ac:dyDescent="0.3">
      <c r="A121" s="56"/>
      <c r="B121" s="56"/>
      <c r="C121" s="8"/>
      <c r="D121" s="3"/>
      <c r="E121" s="3"/>
      <c r="F121" s="25">
        <f>SUMIF(Ajustes!$M$3:$M$150,Accesorios!B121,Ajustes!$O$3:$O$150)+SUMIF(Ajustes!$M$3:$M$150,Accesorios!B121,Ajustes!$Q$3:$Q$150)</f>
        <v>0</v>
      </c>
      <c r="G121" s="44">
        <f t="shared" si="6"/>
        <v>0</v>
      </c>
      <c r="H121" s="53" t="str">
        <f t="shared" si="7"/>
        <v/>
      </c>
      <c r="I121" s="22" t="str">
        <f>IF(AND(D121="0",E121="0"),"SI",IF(COUNTIF(Ajustes!$M$3:$M$150,B121),"SI",IF(AND(D121=0,E121=0,NOT(ISBLANK(D121)),NOT(ISBLANK(E121))),"SI","")))</f>
        <v/>
      </c>
    </row>
    <row r="122" spans="1:9" x14ac:dyDescent="0.3">
      <c r="A122" s="56"/>
      <c r="B122" s="56"/>
      <c r="C122" s="8"/>
      <c r="D122" s="3"/>
      <c r="E122" s="3"/>
      <c r="F122" s="25">
        <f>SUMIF(Ajustes!$M$3:$M$150,Accesorios!B122,Ajustes!$O$3:$O$150)+SUMIF(Ajustes!$M$3:$M$150,Accesorios!B122,Ajustes!$Q$3:$Q$150)</f>
        <v>0</v>
      </c>
      <c r="G122" s="44">
        <f t="shared" si="6"/>
        <v>0</v>
      </c>
      <c r="H122" s="53" t="str">
        <f t="shared" si="7"/>
        <v/>
      </c>
      <c r="I122" s="22" t="str">
        <f>IF(AND(D122="0",E122="0"),"SI",IF(COUNTIF(Ajustes!$M$3:$M$150,B122),"SI",IF(AND(D122=0,E122=0,NOT(ISBLANK(D122)),NOT(ISBLANK(E122))),"SI","")))</f>
        <v/>
      </c>
    </row>
    <row r="123" spans="1:9" x14ac:dyDescent="0.3">
      <c r="A123" s="56"/>
      <c r="B123" s="56"/>
      <c r="C123" s="8"/>
      <c r="D123" s="3"/>
      <c r="E123" s="3"/>
      <c r="F123" s="25">
        <f>SUMIF(Ajustes!$M$3:$M$150,Accesorios!B123,Ajustes!$O$3:$O$150)+SUMIF(Ajustes!$M$3:$M$150,Accesorios!B123,Ajustes!$Q$3:$Q$150)</f>
        <v>0</v>
      </c>
      <c r="G123" s="44">
        <f t="shared" si="6"/>
        <v>0</v>
      </c>
      <c r="H123" s="53" t="str">
        <f t="shared" si="7"/>
        <v/>
      </c>
      <c r="I123" s="22" t="str">
        <f>IF(AND(D123="0",E123="0"),"SI",IF(COUNTIF(Ajustes!$M$3:$M$150,B123),"SI",IF(AND(D123=0,E123=0,NOT(ISBLANK(D123)),NOT(ISBLANK(E123))),"SI","")))</f>
        <v/>
      </c>
    </row>
    <row r="124" spans="1:9" x14ac:dyDescent="0.3">
      <c r="A124" s="61"/>
      <c r="B124" s="61">
        <f>COUNTA(B10:B123)</f>
        <v>104</v>
      </c>
      <c r="C124" s="62">
        <f>COUNTA(C10:C123)</f>
        <v>104</v>
      </c>
      <c r="D124" s="61">
        <f>SUM(D10:D123)</f>
        <v>2103</v>
      </c>
      <c r="E124" s="61">
        <f>SUM(E10:E123)</f>
        <v>1948</v>
      </c>
      <c r="F124" s="63">
        <f>SUM(F10:F123)</f>
        <v>-189296.57000000012</v>
      </c>
      <c r="G124" s="64">
        <f>SUM(G10:G123)</f>
        <v>-155</v>
      </c>
      <c r="H124" s="58">
        <f>COUNTIF(H10:H123,0)</f>
        <v>104</v>
      </c>
      <c r="I124" s="65">
        <f>COUNTIF(I10:I123,"Si")/104</f>
        <v>0.99038461538461542</v>
      </c>
    </row>
  </sheetData>
  <sheetProtection algorithmName="SHA-512" hashValue="nq6hovCMn8dhoBub532bnLtTHr9j5YtMKmYcwF+HF4sjioxEKid4bCYcTFkSvwdVCnbZduAAb+8r50ntT5UGzA==" saltValue="2vhsBpo2e/CLYitWOZQF9w==" spinCount="100000" sheet="1" objects="1" scenarios="1" selectLockedCells="1"/>
  <protectedRanges>
    <protectedRange sqref="F10:F123" name="Rango1"/>
  </protectedRanges>
  <mergeCells count="4">
    <mergeCell ref="C5:E7"/>
    <mergeCell ref="B2:C3"/>
    <mergeCell ref="E2:H3"/>
    <mergeCell ref="G5:I7"/>
  </mergeCells>
  <conditionalFormatting sqref="C5:F7">
    <cfRule type="dataBar" priority="13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{88FEB628-DE7F-401B-87F1-C221D324C92D}</x14:id>
        </ext>
      </extLst>
    </cfRule>
  </conditionalFormatting>
  <conditionalFormatting sqref="E2:H3">
    <cfRule type="expression" dxfId="11" priority="2">
      <formula>AND($E$2&lt;&gt;"PLANILLA FINALIZADA",$E$2&lt;&gt;"")</formula>
    </cfRule>
    <cfRule type="expression" dxfId="10" priority="3">
      <formula>$E$2="PLANILLA FINALIZADA"</formula>
    </cfRule>
  </conditionalFormatting>
  <conditionalFormatting sqref="F10:F124">
    <cfRule type="cellIs" dxfId="9" priority="5" operator="lessThan">
      <formula>0</formula>
    </cfRule>
  </conditionalFormatting>
  <conditionalFormatting sqref="G5:I7">
    <cfRule type="expression" dxfId="8" priority="1">
      <formula>(G5&lt;&gt;"")</formula>
    </cfRule>
  </conditionalFormatting>
  <dataValidations count="3">
    <dataValidation type="date" allowBlank="1" showInputMessage="1" showErrorMessage="1" errorTitle="ERROR" error="Ingresar una Fecha Valida" promptTitle="Introduce una Fecha Valida" prompt="Debes Ingresar una Fecha Valida" sqref="C10:C70" xr:uid="{FB434232-C7FE-4389-A965-8B79FD86EBD5}">
      <formula1>45413</formula1>
      <formula2>45962</formula2>
    </dataValidation>
    <dataValidation type="custom" showInputMessage="1" showErrorMessage="1" errorTitle="ERROR" error="Ingresar Cluster A, B o C" sqref="A114:A123" xr:uid="{16F8B48A-0FEC-426B-ADF5-7A189ACF888F}">
      <formula1>AND(ISTEXT(A114),LEN(A114)=1,OR(A114="A",A114="B",A114="C"))</formula1>
    </dataValidation>
    <dataValidation type="custom" showInputMessage="1" showErrorMessage="1" sqref="B114:B123" xr:uid="{DD45CB04-8FBD-48CD-ACB6-99AFB65E41FE}">
      <formula1>AND(A114&lt;&gt;"",ISTEXT(B114))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FEB628-DE7F-401B-87F1-C221D324C92D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C5:F7</xm:sqref>
        </x14:conditionalFormatting>
        <x14:conditionalFormatting xmlns:xm="http://schemas.microsoft.com/office/excel/2006/main">
          <x14:cfRule type="iconSet" priority="10" id="{6122D174-2423-4EE2-BE22-EA2C2E8CAC46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2"/>
              <x14:cfIcon iconSet="3Symbols" iconId="2"/>
              <x14:cfIcon iconSet="3Symbols" iconId="2"/>
            </x14:iconSet>
          </x14:cfRule>
          <xm:sqref>H10:H37</xm:sqref>
        </x14:conditionalFormatting>
        <x14:conditionalFormatting xmlns:xm="http://schemas.microsoft.com/office/excel/2006/main">
          <x14:cfRule type="iconSet" priority="7" id="{F9F2C0ED-8AAE-4566-9B59-CC9EC8BCACD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2"/>
              <x14:cfIcon iconSet="3Symbols" iconId="2"/>
              <x14:cfIcon iconSet="3Symbols" iconId="2"/>
            </x14:iconSet>
          </x14:cfRule>
          <xm:sqref>H38:H70</xm:sqref>
        </x14:conditionalFormatting>
        <x14:conditionalFormatting xmlns:xm="http://schemas.microsoft.com/office/excel/2006/main">
          <x14:cfRule type="iconSet" priority="6" id="{51486683-1CEE-4D5E-BAAC-3A63146F599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0</xm:f>
              </x14:cfvo>
              <x14:cfIcon iconSet="3Symbols" iconId="2"/>
              <x14:cfIcon iconSet="3Symbols" iconId="2"/>
              <x14:cfIcon iconSet="3Symbols" iconId="2"/>
            </x14:iconSet>
          </x14:cfRule>
          <xm:sqref>H71:H123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8041D-0264-43CC-A01D-D1B0E7B916E0}">
  <dimension ref="A2:I46"/>
  <sheetViews>
    <sheetView showGridLines="0" zoomScale="130" zoomScaleNormal="130" workbookViewId="0">
      <selection activeCell="C10" sqref="C10:C45"/>
    </sheetView>
  </sheetViews>
  <sheetFormatPr baseColWidth="10" defaultColWidth="10.81640625" defaultRowHeight="15" x14ac:dyDescent="0.35"/>
  <cols>
    <col min="1" max="1" width="8.7265625" style="46" bestFit="1" customWidth="1"/>
    <col min="2" max="2" width="31.1796875" style="46" bestFit="1" customWidth="1"/>
    <col min="3" max="3" width="18.81640625" style="47" bestFit="1" customWidth="1"/>
    <col min="4" max="4" width="6.81640625" style="46" bestFit="1" customWidth="1"/>
    <col min="5" max="5" width="15.54296875" style="46" bestFit="1" customWidth="1"/>
    <col min="6" max="6" width="14.54296875" style="46" bestFit="1" customWidth="1"/>
    <col min="7" max="7" width="13.453125" style="46" bestFit="1" customWidth="1"/>
    <col min="8" max="8" width="6.54296875" style="46" bestFit="1" customWidth="1"/>
    <col min="9" max="9" width="10.54296875" style="46" bestFit="1" customWidth="1"/>
    <col min="10" max="10" width="4.54296875" style="46" customWidth="1"/>
    <col min="11" max="16384" width="10.81640625" style="46"/>
  </cols>
  <sheetData>
    <row r="2" spans="1:9" ht="15" customHeight="1" x14ac:dyDescent="0.35">
      <c r="B2" s="139" t="s">
        <v>274</v>
      </c>
      <c r="C2" s="140"/>
      <c r="E2" s="128" t="str">
        <f ca="1">IF('CONSOLIDADO - ALCANCE '!Z5&gt;='CONSOLIDADO - ALCANCE '!M6,"PLANILLA FINALIZADA",IF('CONSOLIDADO - ALCANCE '!M3&gt;0.09,CONCATENATE("Planilla Atrasada un ",TEXT('CONSOLIDADO - ALCANCE '!M3,"0%")),""))</f>
        <v/>
      </c>
      <c r="F2" s="128"/>
      <c r="G2" s="128"/>
      <c r="H2" s="128"/>
    </row>
    <row r="3" spans="1:9" ht="24" customHeight="1" x14ac:dyDescent="0.35">
      <c r="B3" s="141"/>
      <c r="C3" s="142"/>
      <c r="E3" s="128"/>
      <c r="F3" s="128"/>
      <c r="G3" s="128"/>
      <c r="H3" s="128"/>
    </row>
    <row r="4" spans="1:9" ht="15.5" thickBot="1" x14ac:dyDescent="0.4"/>
    <row r="5" spans="1:9" x14ac:dyDescent="0.35">
      <c r="C5" s="130">
        <f>COUNTIF(I10:I45,"Si")/B46</f>
        <v>0.76923076923076927</v>
      </c>
      <c r="D5" s="131"/>
      <c r="E5" s="132"/>
      <c r="F5" s="34"/>
      <c r="G5" s="129" t="str">
        <f>IF('CONSOLIDADO - ALCANCE '!D15&lt;&gt;"","Nuevo Aviso en la Primer Hoja","")</f>
        <v/>
      </c>
      <c r="H5" s="129"/>
      <c r="I5" s="129"/>
    </row>
    <row r="6" spans="1:9" x14ac:dyDescent="0.35">
      <c r="C6" s="133"/>
      <c r="D6" s="134"/>
      <c r="E6" s="135"/>
      <c r="F6" s="34"/>
      <c r="G6" s="129"/>
      <c r="H6" s="129"/>
      <c r="I6" s="129"/>
    </row>
    <row r="7" spans="1:9" ht="15.5" thickBot="1" x14ac:dyDescent="0.4">
      <c r="C7" s="136"/>
      <c r="D7" s="137"/>
      <c r="E7" s="138"/>
      <c r="F7" s="34"/>
      <c r="G7" s="129"/>
      <c r="H7" s="129"/>
      <c r="I7" s="129"/>
    </row>
    <row r="9" spans="1:9" x14ac:dyDescent="0.35">
      <c r="A9" s="58" t="s">
        <v>26</v>
      </c>
      <c r="B9" s="58" t="s">
        <v>27</v>
      </c>
      <c r="C9" s="59" t="s">
        <v>28</v>
      </c>
      <c r="D9" s="58" t="s">
        <v>29</v>
      </c>
      <c r="E9" s="58" t="s">
        <v>30</v>
      </c>
      <c r="F9" s="58" t="s">
        <v>234</v>
      </c>
      <c r="G9" s="60" t="s">
        <v>32</v>
      </c>
      <c r="H9" s="60" t="s">
        <v>33</v>
      </c>
      <c r="I9" s="60" t="s">
        <v>34</v>
      </c>
    </row>
    <row r="10" spans="1:9" x14ac:dyDescent="0.3">
      <c r="A10" s="48" t="s">
        <v>35</v>
      </c>
      <c r="B10" s="48" t="s">
        <v>68</v>
      </c>
      <c r="C10" s="4">
        <v>45941</v>
      </c>
      <c r="D10" s="1">
        <v>0</v>
      </c>
      <c r="E10" s="1">
        <v>0</v>
      </c>
      <c r="F10" s="24">
        <f>SUMIF(Ajustes!$S$3:$S$150,Varios!B10,Ajustes!$U$3:$U$150)+SUMIF(Ajustes!$S$3:$S$150,Varios!B10,Ajustes!W$3:$W$150)</f>
        <v>0</v>
      </c>
      <c r="G10" s="44">
        <f>E10-D10</f>
        <v>0</v>
      </c>
      <c r="H10" s="54">
        <f>IF(C10&lt;&gt;"",0,"")</f>
        <v>0</v>
      </c>
      <c r="I10" s="22" t="str">
        <f>IF(AND(D10="0",E10="0"),"SI",IF(COUNTIF(Ajustes!$S$3:$S$150,B10),"SI",IF(AND(D10=0,E10=0,NOT(ISBLANK(D10)),NOT(ISBLANK(E10))),"SI","")))</f>
        <v>SI</v>
      </c>
    </row>
    <row r="11" spans="1:9" x14ac:dyDescent="0.3">
      <c r="A11" s="48" t="s">
        <v>35</v>
      </c>
      <c r="B11" s="48" t="s">
        <v>275</v>
      </c>
      <c r="C11" s="4"/>
      <c r="D11" s="1"/>
      <c r="E11" s="1"/>
      <c r="F11" s="24">
        <f>SUMIF(Ajustes!$S$3:$S$150,Varios!B11,Ajustes!$U$3:$U$150)+SUMIF(Ajustes!$S$3:$S$150,Varios!B11,Ajustes!W$3:$W$150)</f>
        <v>0</v>
      </c>
      <c r="G11" s="44">
        <f t="shared" ref="G11:G25" si="0">E11-D11</f>
        <v>0</v>
      </c>
      <c r="H11" s="54" t="str">
        <f t="shared" ref="H11:H25" si="1">IF(C11&lt;&gt;"",0,"")</f>
        <v/>
      </c>
      <c r="I11" s="22" t="str">
        <f>IF(AND(D11="0",E11="0"),"SI",IF(COUNTIF(Ajustes!$S$3:$S$150,B11),"SI",IF(AND(D11=0,E11=0,NOT(ISBLANK(D11)),NOT(ISBLANK(E11))),"SI","")))</f>
        <v/>
      </c>
    </row>
    <row r="12" spans="1:9" x14ac:dyDescent="0.3">
      <c r="A12" s="48" t="s">
        <v>35</v>
      </c>
      <c r="B12" s="48" t="s">
        <v>73</v>
      </c>
      <c r="C12" s="4">
        <v>45957</v>
      </c>
      <c r="D12" s="1">
        <v>0</v>
      </c>
      <c r="E12" s="1">
        <v>0</v>
      </c>
      <c r="F12" s="24">
        <f>SUMIF(Ajustes!$S$3:$S$150,Varios!B12,Ajustes!$U$3:$U$150)+SUMIF(Ajustes!$S$3:$S$150,Varios!B12,Ajustes!W$3:$W$150)</f>
        <v>0</v>
      </c>
      <c r="G12" s="44">
        <f t="shared" si="0"/>
        <v>0</v>
      </c>
      <c r="H12" s="54">
        <f t="shared" si="1"/>
        <v>0</v>
      </c>
      <c r="I12" s="22" t="str">
        <f>IF(AND(D12="0",E12="0"),"SI",IF(COUNTIF(Ajustes!$S$3:$S$150,B12),"SI",IF(AND(D12=0,E12=0,NOT(ISBLANK(D12)),NOT(ISBLANK(E12))),"SI","")))</f>
        <v>SI</v>
      </c>
    </row>
    <row r="13" spans="1:9" x14ac:dyDescent="0.3">
      <c r="A13" s="48" t="s">
        <v>35</v>
      </c>
      <c r="B13" s="48" t="s">
        <v>276</v>
      </c>
      <c r="C13" s="4"/>
      <c r="D13" s="1"/>
      <c r="E13" s="1"/>
      <c r="F13" s="24">
        <f>SUMIF(Ajustes!$S$3:$S$150,Varios!B13,Ajustes!$U$3:$U$150)+SUMIF(Ajustes!$S$3:$S$150,Varios!B13,Ajustes!W$3:$W$150)</f>
        <v>0</v>
      </c>
      <c r="G13" s="44">
        <f t="shared" si="0"/>
        <v>0</v>
      </c>
      <c r="H13" s="54" t="str">
        <f t="shared" si="1"/>
        <v/>
      </c>
      <c r="I13" s="22" t="str">
        <f>IF(AND(D13="0",E13="0"),"SI",IF(COUNTIF(Ajustes!$S$3:$S$150,B13),"SI",IF(AND(D13=0,E13=0,NOT(ISBLANK(D13)),NOT(ISBLANK(E13))),"SI","")))</f>
        <v/>
      </c>
    </row>
    <row r="14" spans="1:9" x14ac:dyDescent="0.3">
      <c r="A14" s="48" t="s">
        <v>35</v>
      </c>
      <c r="B14" s="48" t="s">
        <v>277</v>
      </c>
      <c r="C14" s="4">
        <v>45934</v>
      </c>
      <c r="D14" s="1">
        <v>382</v>
      </c>
      <c r="E14" s="1">
        <v>348</v>
      </c>
      <c r="F14" s="24">
        <f>SUMIF(Ajustes!$S$3:$S$150,Varios!B14,Ajustes!$U$3:$U$150)+SUMIF(Ajustes!$S$3:$S$150,Varios!B14,Ajustes!W$3:$W$150)</f>
        <v>-45124.02</v>
      </c>
      <c r="G14" s="44">
        <f t="shared" si="0"/>
        <v>-34</v>
      </c>
      <c r="H14" s="54">
        <f t="shared" si="1"/>
        <v>0</v>
      </c>
      <c r="I14" s="22" t="str">
        <f>IF(AND(D14="0",E14="0"),"SI",IF(COUNTIF(Ajustes!$S$3:$S$150,B14),"SI",IF(AND(D14=0,E14=0,NOT(ISBLANK(D14)),NOT(ISBLANK(E14))),"SI","")))</f>
        <v>SI</v>
      </c>
    </row>
    <row r="15" spans="1:9" x14ac:dyDescent="0.3">
      <c r="A15" s="48" t="s">
        <v>35</v>
      </c>
      <c r="B15" s="48" t="s">
        <v>278</v>
      </c>
      <c r="C15" s="4">
        <v>45938</v>
      </c>
      <c r="D15" s="1">
        <v>91</v>
      </c>
      <c r="E15" s="1">
        <v>42</v>
      </c>
      <c r="F15" s="24">
        <f>SUMIF(Ajustes!$S$3:$S$150,Varios!B15,Ajustes!$U$3:$U$150)+SUMIF(Ajustes!$S$3:$S$150,Varios!B15,Ajustes!W$3:$W$150)</f>
        <v>-33399.949999999997</v>
      </c>
      <c r="G15" s="44">
        <f t="shared" si="0"/>
        <v>-49</v>
      </c>
      <c r="H15" s="54">
        <f t="shared" si="1"/>
        <v>0</v>
      </c>
      <c r="I15" s="22" t="str">
        <f>IF(AND(D15="0",E15="0"),"SI",IF(COUNTIF(Ajustes!$S$3:$S$150,B15),"SI",IF(AND(D15=0,E15=0,NOT(ISBLANK(D15)),NOT(ISBLANK(E15))),"SI","")))</f>
        <v>SI</v>
      </c>
    </row>
    <row r="16" spans="1:9" x14ac:dyDescent="0.3">
      <c r="A16" s="48" t="s">
        <v>35</v>
      </c>
      <c r="B16" s="48" t="s">
        <v>279</v>
      </c>
      <c r="C16" s="4">
        <v>45934</v>
      </c>
      <c r="D16" s="1">
        <v>1</v>
      </c>
      <c r="E16" s="1">
        <v>1</v>
      </c>
      <c r="F16" s="24">
        <f>SUMIF(Ajustes!$S$3:$S$150,Varios!B16,Ajustes!$U$3:$U$150)+SUMIF(Ajustes!$S$3:$S$150,Varios!B16,Ajustes!W$3:$W$150)</f>
        <v>0</v>
      </c>
      <c r="G16" s="44">
        <f t="shared" si="0"/>
        <v>0</v>
      </c>
      <c r="H16" s="54">
        <f t="shared" si="1"/>
        <v>0</v>
      </c>
      <c r="I16" s="22" t="str">
        <f>IF(AND(D16="0",E16="0"),"SI",IF(COUNTIF(Ajustes!$S$3:$S$150,B16),"SI",IF(AND(D16=0,E16=0,NOT(ISBLANK(D16)),NOT(ISBLANK(E16))),"SI","")))</f>
        <v>SI</v>
      </c>
    </row>
    <row r="17" spans="1:9" x14ac:dyDescent="0.3">
      <c r="A17" s="48" t="s">
        <v>35</v>
      </c>
      <c r="B17" s="48" t="s">
        <v>280</v>
      </c>
      <c r="C17" s="4">
        <v>45955</v>
      </c>
      <c r="D17" s="1">
        <v>199</v>
      </c>
      <c r="E17" s="1">
        <v>3</v>
      </c>
      <c r="F17" s="24">
        <f>SUMIF(Ajustes!$S$3:$S$150,Varios!B17,Ajustes!$U$3:$U$150)+SUMIF(Ajustes!$S$3:$S$150,Varios!B17,Ajustes!W$3:$W$150)</f>
        <v>-495205.92</v>
      </c>
      <c r="G17" s="44">
        <f t="shared" si="0"/>
        <v>-196</v>
      </c>
      <c r="H17" s="54">
        <f t="shared" si="1"/>
        <v>0</v>
      </c>
      <c r="I17" s="22" t="str">
        <f>IF(AND(D17="0",E17="0"),"SI",IF(COUNTIF(Ajustes!$S$3:$S$150,B17),"SI",IF(AND(D17=0,E17=0,NOT(ISBLANK(D17)),NOT(ISBLANK(E17))),"SI","")))</f>
        <v>SI</v>
      </c>
    </row>
    <row r="18" spans="1:9" x14ac:dyDescent="0.3">
      <c r="A18" s="48" t="s">
        <v>35</v>
      </c>
      <c r="B18" s="48" t="s">
        <v>182</v>
      </c>
      <c r="C18" s="4">
        <v>45941</v>
      </c>
      <c r="D18" s="1">
        <v>0</v>
      </c>
      <c r="E18" s="1">
        <v>0</v>
      </c>
      <c r="F18" s="24">
        <f>SUMIF(Ajustes!$S$3:$S$150,Varios!B18,Ajustes!$U$3:$U$150)+SUMIF(Ajustes!$S$3:$S$150,Varios!B18,Ajustes!W$3:$W$150)</f>
        <v>0</v>
      </c>
      <c r="G18" s="44">
        <f t="shared" si="0"/>
        <v>0</v>
      </c>
      <c r="H18" s="54">
        <f t="shared" si="1"/>
        <v>0</v>
      </c>
      <c r="I18" s="22" t="str">
        <f>IF(AND(D18="0",E18="0"),"SI",IF(COUNTIF(Ajustes!$S$3:$S$150,B18),"SI",IF(AND(D18=0,E18=0,NOT(ISBLANK(D18)),NOT(ISBLANK(E18))),"SI","")))</f>
        <v>SI</v>
      </c>
    </row>
    <row r="19" spans="1:9" x14ac:dyDescent="0.3">
      <c r="A19" s="48" t="s">
        <v>35</v>
      </c>
      <c r="B19" s="48" t="s">
        <v>199</v>
      </c>
      <c r="C19" s="4">
        <v>45941</v>
      </c>
      <c r="D19" s="1">
        <v>0</v>
      </c>
      <c r="E19" s="1">
        <v>0</v>
      </c>
      <c r="F19" s="24">
        <f>SUMIF(Ajustes!$S$3:$S$150,Varios!B19,Ajustes!$U$3:$U$150)+SUMIF(Ajustes!$S$3:$S$150,Varios!B19,Ajustes!W$3:$W$150)</f>
        <v>0</v>
      </c>
      <c r="G19" s="44">
        <f t="shared" si="0"/>
        <v>0</v>
      </c>
      <c r="H19" s="54">
        <f t="shared" si="1"/>
        <v>0</v>
      </c>
      <c r="I19" s="22" t="str">
        <f>IF(AND(D19="0",E19="0"),"SI",IF(COUNTIF(Ajustes!$S$3:$S$150,B19),"SI",IF(AND(D19=0,E19=0,NOT(ISBLANK(D19)),NOT(ISBLANK(E19))),"SI","")))</f>
        <v>SI</v>
      </c>
    </row>
    <row r="20" spans="1:9" x14ac:dyDescent="0.3">
      <c r="A20" s="48" t="s">
        <v>35</v>
      </c>
      <c r="B20" s="48" t="s">
        <v>281</v>
      </c>
      <c r="C20" s="4">
        <v>45957</v>
      </c>
      <c r="D20" s="1">
        <v>21</v>
      </c>
      <c r="E20" s="1">
        <v>8</v>
      </c>
      <c r="F20" s="24">
        <f>SUMIF(Ajustes!$S$3:$S$150,Varios!B20,Ajustes!$U$3:$U$150)+SUMIF(Ajustes!$S$3:$S$150,Varios!B20,Ajustes!W$3:$W$150)</f>
        <v>-107320.69</v>
      </c>
      <c r="G20" s="44">
        <f t="shared" si="0"/>
        <v>-13</v>
      </c>
      <c r="H20" s="54">
        <f t="shared" si="1"/>
        <v>0</v>
      </c>
      <c r="I20" s="22" t="str">
        <f>IF(AND(D20="0",E20="0"),"SI",IF(COUNTIF(Ajustes!$S$3:$S$150,B20),"SI",IF(AND(D20=0,E20=0,NOT(ISBLANK(D20)),NOT(ISBLANK(E20))),"SI","")))</f>
        <v>SI</v>
      </c>
    </row>
    <row r="21" spans="1:9" x14ac:dyDescent="0.3">
      <c r="A21" s="48" t="s">
        <v>35</v>
      </c>
      <c r="B21" s="48" t="s">
        <v>282</v>
      </c>
      <c r="C21" s="4">
        <v>45957</v>
      </c>
      <c r="D21" s="1">
        <v>212</v>
      </c>
      <c r="E21" s="1">
        <v>201</v>
      </c>
      <c r="F21" s="24">
        <f>SUMIF(Ajustes!$S$3:$S$150,Varios!B21,Ajustes!$U$3:$U$150)+SUMIF(Ajustes!$S$3:$S$150,Varios!B21,Ajustes!W$3:$W$150)</f>
        <v>-85265.57</v>
      </c>
      <c r="G21" s="44">
        <f t="shared" si="0"/>
        <v>-11</v>
      </c>
      <c r="H21" s="54">
        <f t="shared" si="1"/>
        <v>0</v>
      </c>
      <c r="I21" s="22" t="str">
        <f>IF(AND(D21="0",E21="0"),"SI",IF(COUNTIF(Ajustes!$S$3:$S$150,B21),"SI",IF(AND(D21=0,E21=0,NOT(ISBLANK(D21)),NOT(ISBLANK(E21))),"SI","")))</f>
        <v>SI</v>
      </c>
    </row>
    <row r="22" spans="1:9" x14ac:dyDescent="0.3">
      <c r="A22" s="48" t="s">
        <v>35</v>
      </c>
      <c r="B22" s="48" t="s">
        <v>94</v>
      </c>
      <c r="C22" s="4">
        <v>45957</v>
      </c>
      <c r="D22" s="1">
        <v>2</v>
      </c>
      <c r="E22" s="1">
        <v>2</v>
      </c>
      <c r="F22" s="24">
        <f>SUMIF(Ajustes!$S$3:$S$150,Varios!B22,Ajustes!$U$3:$U$150)+SUMIF(Ajustes!$S$3:$S$150,Varios!B22,Ajustes!W$3:$W$150)</f>
        <v>0</v>
      </c>
      <c r="G22" s="44">
        <f t="shared" si="0"/>
        <v>0</v>
      </c>
      <c r="H22" s="54">
        <f t="shared" si="1"/>
        <v>0</v>
      </c>
      <c r="I22" s="22" t="str">
        <f>IF(AND(D22="0",E22="0"),"SI",IF(COUNTIF(Ajustes!$S$3:$S$150,B22),"SI",IF(AND(D22=0,E22=0,NOT(ISBLANK(D22)),NOT(ISBLANK(E22))),"SI","")))</f>
        <v>SI</v>
      </c>
    </row>
    <row r="23" spans="1:9" x14ac:dyDescent="0.3">
      <c r="A23" s="48" t="s">
        <v>35</v>
      </c>
      <c r="B23" s="48" t="s">
        <v>283</v>
      </c>
      <c r="C23" s="7">
        <v>45947</v>
      </c>
      <c r="D23" s="2">
        <v>2010</v>
      </c>
      <c r="E23" s="2">
        <v>1805</v>
      </c>
      <c r="F23" s="24">
        <f>SUMIF(Ajustes!$S$3:$S$150,Varios!B23,Ajustes!$U$3:$U$150)+SUMIF(Ajustes!$S$3:$S$150,Varios!B23,Ajustes!W$3:$W$150)</f>
        <v>-498127.63</v>
      </c>
      <c r="G23" s="44">
        <f t="shared" si="0"/>
        <v>-205</v>
      </c>
      <c r="H23" s="54">
        <f t="shared" si="1"/>
        <v>0</v>
      </c>
      <c r="I23" s="22" t="str">
        <f>IF(AND(D23="0",E23="0"),"SI",IF(COUNTIF(Ajustes!$S$3:$S$150,B23),"SI",IF(AND(D23=0,E23=0,NOT(ISBLANK(D23)),NOT(ISBLANK(E23))),"SI","")))</f>
        <v>SI</v>
      </c>
    </row>
    <row r="24" spans="1:9" x14ac:dyDescent="0.3">
      <c r="A24" s="48" t="s">
        <v>35</v>
      </c>
      <c r="B24" s="48" t="s">
        <v>225</v>
      </c>
      <c r="C24" s="4">
        <v>45941</v>
      </c>
      <c r="D24" s="1">
        <v>0</v>
      </c>
      <c r="E24" s="1">
        <v>0</v>
      </c>
      <c r="F24" s="24">
        <f>SUMIF(Ajustes!$S$3:$S$150,Varios!B24,Ajustes!$U$3:$U$150)+SUMIF(Ajustes!$S$3:$S$150,Varios!B24,Ajustes!W$3:$W$150)</f>
        <v>0</v>
      </c>
      <c r="G24" s="44">
        <f t="shared" si="0"/>
        <v>0</v>
      </c>
      <c r="H24" s="54">
        <f t="shared" si="1"/>
        <v>0</v>
      </c>
      <c r="I24" s="22" t="str">
        <f>IF(AND(D24="0",E24="0"),"SI",IF(COUNTIF(Ajustes!$S$3:$S$150,B24),"SI",IF(AND(D24=0,E24=0,NOT(ISBLANK(D24)),NOT(ISBLANK(E24))),"SI","")))</f>
        <v>SI</v>
      </c>
    </row>
    <row r="25" spans="1:9" x14ac:dyDescent="0.3">
      <c r="A25" s="48" t="s">
        <v>35</v>
      </c>
      <c r="B25" s="48" t="s">
        <v>236</v>
      </c>
      <c r="C25" s="4"/>
      <c r="D25" s="1"/>
      <c r="E25" s="1"/>
      <c r="F25" s="24">
        <f>SUMIF(Ajustes!$S$3:$S$150,Varios!B25,Ajustes!$U$3:$U$150)+SUMIF(Ajustes!$S$3:$S$150,Varios!B25,Ajustes!W$3:$W$150)</f>
        <v>0</v>
      </c>
      <c r="G25" s="44">
        <f t="shared" si="0"/>
        <v>0</v>
      </c>
      <c r="H25" s="54" t="str">
        <f t="shared" si="1"/>
        <v/>
      </c>
      <c r="I25" s="22" t="str">
        <f>IF(AND(D25="0",E25="0"),"SI",IF(COUNTIF(Ajustes!$S$3:$S$150,B25),"SI",IF(AND(D25=0,E25=0,NOT(ISBLANK(D25)),NOT(ISBLANK(E25))),"SI","")))</f>
        <v/>
      </c>
    </row>
    <row r="26" spans="1:9" x14ac:dyDescent="0.3">
      <c r="A26" s="48" t="s">
        <v>35</v>
      </c>
      <c r="B26" s="48" t="s">
        <v>284</v>
      </c>
      <c r="C26" s="4">
        <v>45957</v>
      </c>
      <c r="D26" s="1">
        <v>49</v>
      </c>
      <c r="E26" s="1">
        <v>48</v>
      </c>
      <c r="F26" s="24">
        <f>SUMIF(Ajustes!$S$3:$S$150,Varios!B26,Ajustes!$U$3:$U$150)+SUMIF(Ajustes!$S$3:$S$150,Varios!B26,Ajustes!W$3:$W$150)</f>
        <v>-4369.3</v>
      </c>
      <c r="G26" s="44">
        <f t="shared" ref="G26:G45" si="2">E26-D26</f>
        <v>-1</v>
      </c>
      <c r="H26" s="54">
        <f t="shared" ref="H26:H45" si="3">IF(C26&lt;&gt;"",0,"")</f>
        <v>0</v>
      </c>
      <c r="I26" s="22" t="str">
        <f>IF(AND(D26="0",E26="0"),"SI",IF(COUNTIF(Ajustes!$S$3:$S$150,B26),"SI",IF(AND(D26=0,E26=0,NOT(ISBLANK(D26)),NOT(ISBLANK(E26))),"SI","")))</f>
        <v>SI</v>
      </c>
    </row>
    <row r="27" spans="1:9" x14ac:dyDescent="0.3">
      <c r="A27" s="48" t="s">
        <v>35</v>
      </c>
      <c r="B27" s="48" t="s">
        <v>285</v>
      </c>
      <c r="C27" s="4">
        <v>45957</v>
      </c>
      <c r="D27" s="1">
        <v>5</v>
      </c>
      <c r="E27" s="1">
        <v>5</v>
      </c>
      <c r="F27" s="24">
        <f>SUMIF(Ajustes!$S$3:$S$150,Varios!B27,Ajustes!$U$3:$U$150)+SUMIF(Ajustes!$S$3:$S$150,Varios!B27,Ajustes!W$3:$W$150)</f>
        <v>0</v>
      </c>
      <c r="G27" s="44">
        <f t="shared" si="2"/>
        <v>0</v>
      </c>
      <c r="H27" s="54">
        <f t="shared" si="3"/>
        <v>0</v>
      </c>
      <c r="I27" s="22" t="str">
        <f>IF(AND(D27="0",E27="0"),"SI",IF(COUNTIF(Ajustes!$S$3:$S$150,B27),"SI",IF(AND(D27=0,E27=0,NOT(ISBLANK(D27)),NOT(ISBLANK(E27))),"SI","")))</f>
        <v>SI</v>
      </c>
    </row>
    <row r="28" spans="1:9" x14ac:dyDescent="0.3">
      <c r="A28" s="48" t="s">
        <v>35</v>
      </c>
      <c r="B28" s="48" t="s">
        <v>206</v>
      </c>
      <c r="C28" s="4">
        <v>45941</v>
      </c>
      <c r="D28" s="1">
        <v>0</v>
      </c>
      <c r="E28" s="1">
        <v>0</v>
      </c>
      <c r="F28" s="24">
        <f>SUMIF(Ajustes!$S$3:$S$150,Varios!B28,Ajustes!$U$3:$U$150)+SUMIF(Ajustes!$S$3:$S$150,Varios!B28,Ajustes!W$3:$W$150)</f>
        <v>0</v>
      </c>
      <c r="G28" s="44">
        <f t="shared" si="2"/>
        <v>0</v>
      </c>
      <c r="H28" s="54">
        <f t="shared" si="3"/>
        <v>0</v>
      </c>
      <c r="I28" s="22" t="str">
        <f>IF(AND(D28="0",E28="0"),"SI",IF(COUNTIF(Ajustes!$S$3:$S$150,B28),"SI",IF(AND(D28=0,E28=0,NOT(ISBLANK(D28)),NOT(ISBLANK(E28))),"SI","")))</f>
        <v>SI</v>
      </c>
    </row>
    <row r="29" spans="1:9" x14ac:dyDescent="0.3">
      <c r="A29" s="48" t="s">
        <v>35</v>
      </c>
      <c r="B29" s="48" t="s">
        <v>264</v>
      </c>
      <c r="C29" s="4">
        <v>45957</v>
      </c>
      <c r="D29" s="1">
        <v>1</v>
      </c>
      <c r="E29" s="1">
        <v>1</v>
      </c>
      <c r="F29" s="24">
        <f>SUMIF(Ajustes!$S$3:$S$150,Varios!B29,Ajustes!$U$3:$U$150)+SUMIF(Ajustes!$S$3:$S$150,Varios!B29,Ajustes!W$3:$W$150)</f>
        <v>0</v>
      </c>
      <c r="G29" s="44">
        <f t="shared" si="2"/>
        <v>0</v>
      </c>
      <c r="H29" s="54">
        <f t="shared" si="3"/>
        <v>0</v>
      </c>
      <c r="I29" s="22" t="str">
        <f>IF(AND(D29="0",E29="0"),"SI",IF(COUNTIF(Ajustes!$S$3:$S$150,B29),"SI",IF(AND(D29=0,E29=0,NOT(ISBLANK(D29)),NOT(ISBLANK(E29))),"SI","")))</f>
        <v>SI</v>
      </c>
    </row>
    <row r="30" spans="1:9" x14ac:dyDescent="0.3">
      <c r="A30" s="48" t="s">
        <v>35</v>
      </c>
      <c r="B30" s="48" t="s">
        <v>190</v>
      </c>
      <c r="C30" s="4"/>
      <c r="D30" s="1"/>
      <c r="E30" s="1"/>
      <c r="F30" s="24">
        <f>SUMIF(Ajustes!$S$3:$S$150,Varios!B30,Ajustes!$U$3:$U$150)+SUMIF(Ajustes!$S$3:$S$150,Varios!B30,Ajustes!W$3:$W$150)</f>
        <v>0</v>
      </c>
      <c r="G30" s="44">
        <f t="shared" si="2"/>
        <v>0</v>
      </c>
      <c r="H30" s="54" t="str">
        <f t="shared" si="3"/>
        <v/>
      </c>
      <c r="I30" s="22" t="str">
        <f>IF(AND(D30="0",E30="0"),"SI",IF(COUNTIF(Ajustes!$S$3:$S$150,B30),"SI",IF(AND(D30=0,E30=0,NOT(ISBLANK(D30)),NOT(ISBLANK(E30))),"SI","")))</f>
        <v/>
      </c>
    </row>
    <row r="31" spans="1:9" x14ac:dyDescent="0.3">
      <c r="A31" s="48" t="s">
        <v>35</v>
      </c>
      <c r="B31" s="48" t="s">
        <v>117</v>
      </c>
      <c r="C31" s="4"/>
      <c r="D31" s="1"/>
      <c r="E31" s="1"/>
      <c r="F31" s="24">
        <f>SUMIF(Ajustes!$S$3:$S$150,Varios!B31,Ajustes!$U$3:$U$150)+SUMIF(Ajustes!$S$3:$S$150,Varios!B31,Ajustes!W$3:$W$150)</f>
        <v>0</v>
      </c>
      <c r="G31" s="44">
        <f t="shared" si="2"/>
        <v>0</v>
      </c>
      <c r="H31" s="54" t="str">
        <f t="shared" si="3"/>
        <v/>
      </c>
      <c r="I31" s="22" t="str">
        <f>IF(AND(D31="0",E31="0"),"SI",IF(COUNTIF(Ajustes!$S$3:$S$150,B31),"SI",IF(AND(D31=0,E31=0,NOT(ISBLANK(D31)),NOT(ISBLANK(E31))),"SI","")))</f>
        <v/>
      </c>
    </row>
    <row r="32" spans="1:9" x14ac:dyDescent="0.3">
      <c r="A32" s="48" t="s">
        <v>35</v>
      </c>
      <c r="B32" s="48" t="s">
        <v>286</v>
      </c>
      <c r="C32" s="4">
        <v>45941</v>
      </c>
      <c r="D32" s="1">
        <v>0</v>
      </c>
      <c r="E32" s="1">
        <v>0</v>
      </c>
      <c r="F32" s="24">
        <f>SUMIF(Ajustes!$S$3:$S$150,Varios!B32,Ajustes!$U$3:$U$150)+SUMIF(Ajustes!$S$3:$S$150,Varios!B32,Ajustes!W$3:$W$150)</f>
        <v>0</v>
      </c>
      <c r="G32" s="44">
        <f t="shared" si="2"/>
        <v>0</v>
      </c>
      <c r="H32" s="54">
        <f t="shared" si="3"/>
        <v>0</v>
      </c>
      <c r="I32" s="22" t="str">
        <f>IF(AND(D32="0",E32="0"),"SI",IF(COUNTIF(Ajustes!$S$3:$S$150,B32),"SI",IF(AND(D32=0,E32=0,NOT(ISBLANK(D32)),NOT(ISBLANK(E32))),"SI","")))</f>
        <v>SI</v>
      </c>
    </row>
    <row r="33" spans="1:9" x14ac:dyDescent="0.3">
      <c r="A33" s="48" t="s">
        <v>35</v>
      </c>
      <c r="B33" s="48" t="s">
        <v>192</v>
      </c>
      <c r="C33" s="4">
        <v>45941</v>
      </c>
      <c r="D33" s="1">
        <v>0</v>
      </c>
      <c r="E33" s="1">
        <v>0</v>
      </c>
      <c r="F33" s="24">
        <f>SUMIF(Ajustes!$S$3:$S$150,Varios!B33,Ajustes!$U$3:$U$150)+SUMIF(Ajustes!$S$3:$S$150,Varios!B33,Ajustes!W$3:$W$150)</f>
        <v>0</v>
      </c>
      <c r="G33" s="44">
        <f t="shared" si="2"/>
        <v>0</v>
      </c>
      <c r="H33" s="54">
        <f t="shared" si="3"/>
        <v>0</v>
      </c>
      <c r="I33" s="22" t="str">
        <f>IF(AND(D33="0",E33="0"),"SI",IF(COUNTIF(Ajustes!$S$3:$S$150,B33),"SI",IF(AND(D33=0,E33=0,NOT(ISBLANK(D33)),NOT(ISBLANK(E33))),"SI","")))</f>
        <v>SI</v>
      </c>
    </row>
    <row r="34" spans="1:9" x14ac:dyDescent="0.3">
      <c r="A34" s="48" t="s">
        <v>35</v>
      </c>
      <c r="B34" s="48" t="s">
        <v>193</v>
      </c>
      <c r="C34" s="4">
        <v>45941</v>
      </c>
      <c r="D34" s="1">
        <v>0</v>
      </c>
      <c r="E34" s="1">
        <v>0</v>
      </c>
      <c r="F34" s="24">
        <f>SUMIF(Ajustes!$S$3:$S$150,Varios!B34,Ajustes!$U$3:$U$150)+SUMIF(Ajustes!$S$3:$S$150,Varios!B34,Ajustes!W$3:$W$150)</f>
        <v>0</v>
      </c>
      <c r="G34" s="44">
        <f t="shared" si="2"/>
        <v>0</v>
      </c>
      <c r="H34" s="54">
        <f t="shared" si="3"/>
        <v>0</v>
      </c>
      <c r="I34" s="22" t="str">
        <f>IF(AND(D34="0",E34="0"),"SI",IF(COUNTIF(Ajustes!$S$3:$S$150,B34),"SI",IF(AND(D34=0,E34=0,NOT(ISBLANK(D34)),NOT(ISBLANK(E34))),"SI","")))</f>
        <v>SI</v>
      </c>
    </row>
    <row r="35" spans="1:9" x14ac:dyDescent="0.3">
      <c r="A35" s="48" t="s">
        <v>35</v>
      </c>
      <c r="B35" s="48" t="s">
        <v>272</v>
      </c>
      <c r="C35" s="4"/>
      <c r="D35" s="1"/>
      <c r="E35" s="1"/>
      <c r="F35" s="24">
        <f>SUMIF(Ajustes!$S$3:$S$150,Varios!B35,Ajustes!$U$3:$U$150)+SUMIF(Ajustes!$S$3:$S$150,Varios!B35,Ajustes!W$3:$W$150)</f>
        <v>0</v>
      </c>
      <c r="G35" s="44">
        <f t="shared" si="2"/>
        <v>0</v>
      </c>
      <c r="H35" s="54" t="str">
        <f t="shared" si="3"/>
        <v/>
      </c>
      <c r="I35" s="22" t="str">
        <f>IF(AND(D35="0",E35="0"),"SI",IF(COUNTIF(Ajustes!$S$3:$S$150,B35),"SI",IF(AND(D35=0,E35=0,NOT(ISBLANK(D35)),NOT(ISBLANK(E35))),"SI","")))</f>
        <v/>
      </c>
    </row>
    <row r="36" spans="1:9" x14ac:dyDescent="0.3">
      <c r="A36" s="57"/>
      <c r="B36" s="57"/>
      <c r="C36" s="4"/>
      <c r="D36" s="1"/>
      <c r="E36" s="1"/>
      <c r="F36" s="24">
        <f>SUMIF(Ajustes!$S$3:$S$150,Varios!B36,Ajustes!$U$3:$U$150)+SUMIF(Ajustes!$S$3:$S$150,Varios!B36,Ajustes!W$3:$W$150)</f>
        <v>0</v>
      </c>
      <c r="G36" s="44">
        <f t="shared" si="2"/>
        <v>0</v>
      </c>
      <c r="H36" s="54" t="str">
        <f t="shared" si="3"/>
        <v/>
      </c>
      <c r="I36" s="22" t="str">
        <f>IF(AND(D36="0",E36="0"),"SI",IF(COUNTIF(Ajustes!$S$3:$S$150,B36),"SI",IF(AND(D36=0,E36=0,NOT(ISBLANK(D36)),NOT(ISBLANK(E36))),"SI","")))</f>
        <v/>
      </c>
    </row>
    <row r="37" spans="1:9" x14ac:dyDescent="0.3">
      <c r="A37" s="57"/>
      <c r="B37" s="57"/>
      <c r="C37" s="4"/>
      <c r="D37" s="1"/>
      <c r="E37" s="1"/>
      <c r="F37" s="24">
        <f>SUMIF(Ajustes!$S$3:$S$150,Varios!B37,Ajustes!$U$3:$U$150)+SUMIF(Ajustes!$S$3:$S$150,Varios!B37,Ajustes!W$3:$W$150)</f>
        <v>0</v>
      </c>
      <c r="G37" s="44">
        <f t="shared" si="2"/>
        <v>0</v>
      </c>
      <c r="H37" s="54" t="str">
        <f t="shared" si="3"/>
        <v/>
      </c>
      <c r="I37" s="22" t="str">
        <f>IF(AND(D37="0",E37="0"),"SI",IF(COUNTIF(Ajustes!$S$3:$S$150,B37),"SI",IF(AND(D37=0,E37=0,NOT(ISBLANK(D37)),NOT(ISBLANK(E37))),"SI","")))</f>
        <v/>
      </c>
    </row>
    <row r="38" spans="1:9" x14ac:dyDescent="0.3">
      <c r="A38" s="57"/>
      <c r="B38" s="57"/>
      <c r="C38" s="4"/>
      <c r="D38" s="1"/>
      <c r="E38" s="1"/>
      <c r="F38" s="24">
        <f>SUMIF(Ajustes!$S$3:$S$150,Varios!B38,Ajustes!$U$3:$U$150)+SUMIF(Ajustes!$S$3:$S$150,Varios!B38,Ajustes!W$3:$W$150)</f>
        <v>0</v>
      </c>
      <c r="G38" s="44">
        <f t="shared" si="2"/>
        <v>0</v>
      </c>
      <c r="H38" s="54" t="str">
        <f t="shared" si="3"/>
        <v/>
      </c>
      <c r="I38" s="22" t="str">
        <f>IF(AND(D38="0",E38="0"),"SI",IF(COUNTIF(Ajustes!$S$3:$S$150,B38),"SI",IF(AND(D38=0,E38=0,NOT(ISBLANK(D38)),NOT(ISBLANK(E38))),"SI","")))</f>
        <v/>
      </c>
    </row>
    <row r="39" spans="1:9" x14ac:dyDescent="0.3">
      <c r="A39" s="57"/>
      <c r="B39" s="57"/>
      <c r="C39" s="4"/>
      <c r="D39" s="1"/>
      <c r="E39" s="1"/>
      <c r="F39" s="24">
        <f>SUMIF(Ajustes!$S$3:$S$150,Varios!B39,Ajustes!$U$3:$U$150)+SUMIF(Ajustes!$S$3:$S$150,Varios!B39,Ajustes!W$3:$W$150)</f>
        <v>0</v>
      </c>
      <c r="G39" s="44">
        <f t="shared" si="2"/>
        <v>0</v>
      </c>
      <c r="H39" s="54" t="str">
        <f t="shared" si="3"/>
        <v/>
      </c>
      <c r="I39" s="22" t="str">
        <f>IF(AND(D39="0",E39="0"),"SI",IF(COUNTIF(Ajustes!$S$3:$S$150,B39),"SI",IF(AND(D39=0,E39=0,NOT(ISBLANK(D39)),NOT(ISBLANK(E39))),"SI","")))</f>
        <v/>
      </c>
    </row>
    <row r="40" spans="1:9" x14ac:dyDescent="0.3">
      <c r="A40" s="57"/>
      <c r="B40" s="57"/>
      <c r="C40" s="4"/>
      <c r="D40" s="1"/>
      <c r="E40" s="1"/>
      <c r="F40" s="24">
        <f>SUMIF(Ajustes!$S$3:$S$150,Varios!B40,Ajustes!$U$3:$U$150)+SUMIF(Ajustes!$S$3:$S$150,Varios!B40,Ajustes!W$3:$W$150)</f>
        <v>0</v>
      </c>
      <c r="G40" s="44">
        <f t="shared" si="2"/>
        <v>0</v>
      </c>
      <c r="H40" s="54" t="str">
        <f t="shared" si="3"/>
        <v/>
      </c>
      <c r="I40" s="22" t="str">
        <f>IF(AND(D40="0",E40="0"),"SI",IF(COUNTIF(Ajustes!$S$3:$S$150,B40),"SI",IF(AND(D40=0,E40=0,NOT(ISBLANK(D40)),NOT(ISBLANK(E40))),"SI","")))</f>
        <v/>
      </c>
    </row>
    <row r="41" spans="1:9" x14ac:dyDescent="0.3">
      <c r="A41" s="57"/>
      <c r="B41" s="57"/>
      <c r="C41" s="4"/>
      <c r="D41" s="1"/>
      <c r="E41" s="1"/>
      <c r="F41" s="24">
        <f>SUMIF(Ajustes!$S$3:$S$150,Varios!B41,Ajustes!$U$3:$U$150)+SUMIF(Ajustes!$S$3:$S$150,Varios!B41,Ajustes!W$3:$W$150)</f>
        <v>0</v>
      </c>
      <c r="G41" s="44">
        <f t="shared" si="2"/>
        <v>0</v>
      </c>
      <c r="H41" s="54" t="str">
        <f t="shared" si="3"/>
        <v/>
      </c>
      <c r="I41" s="22" t="str">
        <f>IF(AND(D41="0",E41="0"),"SI",IF(COUNTIF(Ajustes!$S$3:$S$150,B41),"SI",IF(AND(D41=0,E41=0,NOT(ISBLANK(D41)),NOT(ISBLANK(E41))),"SI","")))</f>
        <v/>
      </c>
    </row>
    <row r="42" spans="1:9" x14ac:dyDescent="0.3">
      <c r="A42" s="57"/>
      <c r="B42" s="57"/>
      <c r="C42" s="4"/>
      <c r="D42" s="1"/>
      <c r="E42" s="1"/>
      <c r="F42" s="24">
        <f>SUMIF(Ajustes!$S$3:$S$150,Varios!B42,Ajustes!$U$3:$U$150)+SUMIF(Ajustes!$S$3:$S$150,Varios!B42,Ajustes!W$3:$W$150)</f>
        <v>0</v>
      </c>
      <c r="G42" s="44">
        <f t="shared" si="2"/>
        <v>0</v>
      </c>
      <c r="H42" s="54" t="str">
        <f t="shared" si="3"/>
        <v/>
      </c>
      <c r="I42" s="22" t="str">
        <f>IF(AND(D42="0",E42="0"),"SI",IF(COUNTIF(Ajustes!$S$3:$S$150,B42),"SI",IF(AND(D42=0,E42=0,NOT(ISBLANK(D42)),NOT(ISBLANK(E42))),"SI","")))</f>
        <v/>
      </c>
    </row>
    <row r="43" spans="1:9" x14ac:dyDescent="0.3">
      <c r="A43" s="57"/>
      <c r="B43" s="57"/>
      <c r="C43" s="4"/>
      <c r="D43" s="1"/>
      <c r="E43" s="1"/>
      <c r="F43" s="24">
        <f>SUMIF(Ajustes!$S$3:$S$150,Varios!B43,Ajustes!$U$3:$U$150)+SUMIF(Ajustes!$S$3:$S$150,Varios!B43,Ajustes!W$3:$W$150)</f>
        <v>0</v>
      </c>
      <c r="G43" s="44">
        <f t="shared" si="2"/>
        <v>0</v>
      </c>
      <c r="H43" s="54" t="str">
        <f t="shared" si="3"/>
        <v/>
      </c>
      <c r="I43" s="22" t="str">
        <f>IF(AND(D43="0",E43="0"),"SI",IF(COUNTIF(Ajustes!$S$3:$S$150,B43),"SI",IF(AND(D43=0,E43=0,NOT(ISBLANK(D43)),NOT(ISBLANK(E43))),"SI","")))</f>
        <v/>
      </c>
    </row>
    <row r="44" spans="1:9" x14ac:dyDescent="0.3">
      <c r="A44" s="57"/>
      <c r="B44" s="57"/>
      <c r="C44" s="4"/>
      <c r="D44" s="1"/>
      <c r="E44" s="1"/>
      <c r="F44" s="24">
        <f>SUMIF(Ajustes!$S$3:$S$150,Varios!B44,Ajustes!$U$3:$U$150)+SUMIF(Ajustes!$S$3:$S$150,Varios!B44,Ajustes!W$3:$W$150)</f>
        <v>0</v>
      </c>
      <c r="G44" s="44">
        <f t="shared" si="2"/>
        <v>0</v>
      </c>
      <c r="H44" s="54" t="str">
        <f t="shared" si="3"/>
        <v/>
      </c>
      <c r="I44" s="22" t="str">
        <f>IF(AND(D44="0",E44="0"),"SI",IF(COUNTIF(Ajustes!$S$3:$S$150,B44),"SI",IF(AND(D44=0,E44=0,NOT(ISBLANK(D44)),NOT(ISBLANK(E44))),"SI","")))</f>
        <v/>
      </c>
    </row>
    <row r="45" spans="1:9" x14ac:dyDescent="0.3">
      <c r="A45" s="57"/>
      <c r="B45" s="57"/>
      <c r="C45" s="4"/>
      <c r="D45" s="1"/>
      <c r="E45" s="1"/>
      <c r="F45" s="24">
        <f>SUMIF(Ajustes!$S$3:$S$150,Varios!B45,Ajustes!$U$3:$U$150)+SUMIF(Ajustes!$S$3:$S$150,Varios!B45,Ajustes!W$3:$W$150)</f>
        <v>0</v>
      </c>
      <c r="G45" s="44">
        <f t="shared" si="2"/>
        <v>0</v>
      </c>
      <c r="H45" s="54" t="str">
        <f t="shared" si="3"/>
        <v/>
      </c>
      <c r="I45" s="22" t="str">
        <f>IF(AND(D45="0",E45="0"),"SI",IF(COUNTIF(Ajustes!$S$3:$S$150,B45),"SI",IF(AND(D45=0,E45=0,NOT(ISBLANK(D45)),NOT(ISBLANK(E45))),"SI","")))</f>
        <v/>
      </c>
    </row>
    <row r="46" spans="1:9" x14ac:dyDescent="0.3">
      <c r="A46" s="61"/>
      <c r="B46" s="61">
        <f>COUNTA(B10:B45)</f>
        <v>26</v>
      </c>
      <c r="C46" s="62">
        <f>COUNTA(C10:C45)</f>
        <v>20</v>
      </c>
      <c r="D46" s="61">
        <f>SUM(D10:D45)</f>
        <v>2973</v>
      </c>
      <c r="E46" s="62">
        <f>SUM(E10:E45)</f>
        <v>2464</v>
      </c>
      <c r="F46" s="63">
        <f>SUM(F10:F45)</f>
        <v>-1268813.0800000003</v>
      </c>
      <c r="G46" s="64">
        <f>SUM(G7:G45)</f>
        <v>-509</v>
      </c>
      <c r="H46" s="58">
        <f>COUNTIF(H10:H45,0)</f>
        <v>20</v>
      </c>
      <c r="I46" s="65">
        <f>COUNTIF(I10:I45,"Si")/26</f>
        <v>0.76923076923076927</v>
      </c>
    </row>
  </sheetData>
  <sheetProtection algorithmName="SHA-512" hashValue="KMw0k6Rn77u6Ga+7aFPJVeCkijr3+i5P+YsAji97Zxcwdh8QlEyDtN+bghJRBeZRYEaZ3NVv+FgdiDuPGuNYWg==" saltValue="98dTe5vl8GFANMCJ5bJvXA==" spinCount="100000" sheet="1" objects="1" scenarios="1" selectLockedCells="1"/>
  <sortState xmlns:xlrd2="http://schemas.microsoft.com/office/spreadsheetml/2017/richdata2" ref="B10:B45">
    <sortCondition ref="B10:B45"/>
  </sortState>
  <mergeCells count="4">
    <mergeCell ref="C5:E7"/>
    <mergeCell ref="B2:C3"/>
    <mergeCell ref="E2:H3"/>
    <mergeCell ref="G5:I7"/>
  </mergeCells>
  <conditionalFormatting sqref="C5:F7">
    <cfRule type="dataBar" priority="7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{A3FEE769-B47E-40DB-A867-08B1846BAB7F}</x14:id>
        </ext>
      </extLst>
    </cfRule>
  </conditionalFormatting>
  <conditionalFormatting sqref="E2:H3">
    <cfRule type="expression" dxfId="7" priority="2">
      <formula>AND($E$2&lt;&gt;"PLANILLA FINALIZADA",$E$2&lt;&gt;"")</formula>
    </cfRule>
    <cfRule type="expression" dxfId="6" priority="3">
      <formula>$E$2="PLANILLA FINALIZADA"</formula>
    </cfRule>
  </conditionalFormatting>
  <conditionalFormatting sqref="F10:F46">
    <cfRule type="cellIs" dxfId="5" priority="5" operator="lessThan">
      <formula>0</formula>
    </cfRule>
  </conditionalFormatting>
  <conditionalFormatting sqref="G5:I7">
    <cfRule type="expression" dxfId="4" priority="1">
      <formula>(G5&lt;&gt;"")</formula>
    </cfRule>
  </conditionalFormatting>
  <dataValidations count="3">
    <dataValidation type="custom" showInputMessage="1" showErrorMessage="1" sqref="A36:A45" xr:uid="{947F9A35-7B7B-4949-9ABD-08C872F60D0C}">
      <formula1>AND(ISTEXT(A36),LEN(A36)=1,OR(A36="A",A36="B",A36="C"))</formula1>
    </dataValidation>
    <dataValidation type="custom" showInputMessage="1" showErrorMessage="1" sqref="B36:B45" xr:uid="{8E3EB3D9-2A47-43D5-89F5-A8C833FA4759}">
      <formula1>AND(A36&lt;&gt;"",ISTEXT(A36))</formula1>
    </dataValidation>
    <dataValidation type="date" allowBlank="1" showInputMessage="1" showErrorMessage="1" sqref="C10:C45" xr:uid="{F53718E8-0DFF-4CF9-81F7-9B061198E8FB}">
      <formula1>45880</formula1>
      <formula2>46976</formula2>
    </dataValidation>
  </dataValidations>
  <pageMargins left="0.7" right="0.7" top="0.75" bottom="0.75" header="0.3" footer="0.3"/>
  <pageSetup paperSize="9" orientation="portrait" r:id="rId1"/>
  <ignoredErrors>
    <ignoredError sqref="H10:H25" unlockedFormula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3FEE769-B47E-40DB-A867-08B1846BAB7F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C5:F7</xm:sqref>
        </x14:conditionalFormatting>
        <x14:conditionalFormatting xmlns:xm="http://schemas.microsoft.com/office/excel/2006/main">
          <x14:cfRule type="iconSet" priority="6" id="{EF83AF59-0AFA-4508-8D22-4BF98832275F}">
            <x14:iconSet iconSet="3Symbols" showValue="0" custom="1">
              <x14:cfvo type="percent">
                <xm:f>0</xm:f>
              </x14:cfvo>
              <x14:cfvo type="formula" gte="0">
                <xm:f>0</xm:f>
              </x14:cfvo>
              <x14:cfvo type="formula">
                <xm:f>1</xm:f>
              </x14:cfvo>
              <x14:cfIcon iconSet="3Symbols" iconId="2"/>
              <x14:cfIcon iconSet="3Symbols" iconId="2"/>
              <x14:cfIcon iconSet="3Symbols" iconId="2"/>
            </x14:iconSet>
          </x14:cfRule>
          <xm:sqref>H10:H45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0BCB59-460B-44E8-A539-D8E5571A9B82}">
  <dimension ref="A1:W153"/>
  <sheetViews>
    <sheetView showGridLines="0" topLeftCell="A98" workbookViewId="0">
      <selection activeCell="E110" sqref="E110"/>
    </sheetView>
  </sheetViews>
  <sheetFormatPr baseColWidth="10" defaultColWidth="11.453125" defaultRowHeight="14.5" x14ac:dyDescent="0.35"/>
  <cols>
    <col min="1" max="1" width="15.1796875" customWidth="1"/>
    <col min="2" max="2" width="12.81640625" bestFit="1" customWidth="1"/>
    <col min="3" max="3" width="14.54296875" style="36" bestFit="1" customWidth="1"/>
    <col min="4" max="4" width="11.26953125" bestFit="1" customWidth="1"/>
    <col min="5" max="5" width="15.1796875" style="36" bestFit="1" customWidth="1"/>
    <col min="7" max="7" width="15.1796875" customWidth="1"/>
    <col min="8" max="8" width="12.54296875" bestFit="1" customWidth="1"/>
    <col min="9" max="9" width="13" style="36" bestFit="1" customWidth="1"/>
    <col min="10" max="10" width="10.54296875" bestFit="1" customWidth="1"/>
    <col min="11" max="11" width="13.1796875" style="36" bestFit="1" customWidth="1"/>
    <col min="13" max="13" width="15.1796875" customWidth="1"/>
    <col min="14" max="14" width="12.54296875" bestFit="1" customWidth="1"/>
    <col min="15" max="15" width="14.54296875" style="36" bestFit="1" customWidth="1"/>
    <col min="16" max="16" width="10.54296875" bestFit="1" customWidth="1"/>
    <col min="17" max="17" width="13.1796875" style="36" bestFit="1" customWidth="1"/>
    <col min="19" max="19" width="15.1796875" customWidth="1"/>
    <col min="20" max="20" width="12.54296875" bestFit="1" customWidth="1"/>
    <col min="21" max="21" width="12.81640625" style="36" bestFit="1" customWidth="1"/>
    <col min="22" max="22" width="10.54296875" bestFit="1" customWidth="1"/>
    <col min="23" max="23" width="13.1796875" style="36" bestFit="1" customWidth="1"/>
  </cols>
  <sheetData>
    <row r="1" spans="1:23" ht="21" x14ac:dyDescent="0.35">
      <c r="A1" s="143" t="s">
        <v>19</v>
      </c>
      <c r="B1" s="143"/>
      <c r="C1" s="143"/>
      <c r="D1" s="143"/>
      <c r="E1" s="143"/>
      <c r="F1" s="10"/>
      <c r="G1" s="143" t="s">
        <v>287</v>
      </c>
      <c r="H1" s="143"/>
      <c r="I1" s="143"/>
      <c r="J1" s="143"/>
      <c r="K1" s="143"/>
      <c r="L1" s="10"/>
      <c r="M1" s="144" t="s">
        <v>22</v>
      </c>
      <c r="N1" s="144"/>
      <c r="O1" s="144"/>
      <c r="P1" s="144"/>
      <c r="Q1" s="144"/>
      <c r="R1" s="10"/>
      <c r="S1" s="143" t="s">
        <v>23</v>
      </c>
      <c r="T1" s="143"/>
      <c r="U1" s="143"/>
      <c r="V1" s="143"/>
      <c r="W1" s="143"/>
    </row>
    <row r="2" spans="1:23" x14ac:dyDescent="0.35">
      <c r="A2" s="38" t="s">
        <v>27</v>
      </c>
      <c r="B2" s="82" t="s">
        <v>288</v>
      </c>
      <c r="C2" s="39" t="s">
        <v>289</v>
      </c>
      <c r="D2" s="55" t="s">
        <v>290</v>
      </c>
      <c r="E2" s="39" t="s">
        <v>291</v>
      </c>
      <c r="F2" s="10"/>
      <c r="G2" s="38" t="s">
        <v>27</v>
      </c>
      <c r="H2" s="82" t="s">
        <v>288</v>
      </c>
      <c r="I2" s="39" t="s">
        <v>289</v>
      </c>
      <c r="J2" s="55" t="s">
        <v>290</v>
      </c>
      <c r="K2" s="39" t="s">
        <v>291</v>
      </c>
      <c r="L2" s="10"/>
      <c r="M2" s="38" t="s">
        <v>27</v>
      </c>
      <c r="N2" s="82" t="s">
        <v>288</v>
      </c>
      <c r="O2" s="39" t="s">
        <v>289</v>
      </c>
      <c r="P2" s="55" t="s">
        <v>290</v>
      </c>
      <c r="Q2" s="39" t="s">
        <v>291</v>
      </c>
      <c r="R2" s="10"/>
      <c r="S2" s="38" t="s">
        <v>27</v>
      </c>
      <c r="T2" s="82" t="s">
        <v>288</v>
      </c>
      <c r="U2" s="39" t="s">
        <v>289</v>
      </c>
      <c r="V2" s="55" t="s">
        <v>290</v>
      </c>
      <c r="W2" s="39" t="s">
        <v>291</v>
      </c>
    </row>
    <row r="3" spans="1:23" x14ac:dyDescent="0.35">
      <c r="A3" s="19" t="s">
        <v>49</v>
      </c>
      <c r="B3" s="83">
        <v>190003219</v>
      </c>
      <c r="C3" s="14">
        <v>79875</v>
      </c>
      <c r="D3" s="13">
        <v>190003218</v>
      </c>
      <c r="E3" s="14">
        <v>-145970</v>
      </c>
      <c r="F3" s="10"/>
      <c r="G3" s="19" t="s">
        <v>180</v>
      </c>
      <c r="H3" s="83"/>
      <c r="I3" s="14"/>
      <c r="J3" s="13">
        <v>190003312</v>
      </c>
      <c r="K3" s="14">
        <v>-396299.59</v>
      </c>
      <c r="L3" s="10"/>
      <c r="M3" s="19" t="s">
        <v>209</v>
      </c>
      <c r="N3" s="83"/>
      <c r="O3" s="14"/>
      <c r="P3" s="13">
        <v>190003302</v>
      </c>
      <c r="Q3" s="14">
        <v>-19087.990000000002</v>
      </c>
      <c r="R3" s="10"/>
      <c r="S3" s="19" t="s">
        <v>283</v>
      </c>
      <c r="T3" s="83">
        <v>190003671</v>
      </c>
      <c r="U3" s="14">
        <v>80600.62</v>
      </c>
      <c r="V3" s="13">
        <v>190003672</v>
      </c>
      <c r="W3" s="14">
        <v>-578728.25</v>
      </c>
    </row>
    <row r="4" spans="1:23" x14ac:dyDescent="0.35">
      <c r="A4" s="19" t="s">
        <v>55</v>
      </c>
      <c r="B4" s="83">
        <v>190003492</v>
      </c>
      <c r="C4" s="14">
        <v>358643.61</v>
      </c>
      <c r="D4" s="13">
        <v>190003491</v>
      </c>
      <c r="E4" s="14">
        <v>-324957.03000000003</v>
      </c>
      <c r="F4" s="10"/>
      <c r="G4" s="19" t="s">
        <v>211</v>
      </c>
      <c r="H4" s="83"/>
      <c r="I4" s="14"/>
      <c r="J4" s="13"/>
      <c r="K4" s="14"/>
      <c r="L4" s="10"/>
      <c r="M4" s="19" t="s">
        <v>235</v>
      </c>
      <c r="N4" s="83">
        <v>190003448</v>
      </c>
      <c r="O4" s="14">
        <v>51000</v>
      </c>
      <c r="P4" s="13"/>
      <c r="Q4" s="14"/>
      <c r="R4" s="10"/>
      <c r="S4" s="19" t="s">
        <v>277</v>
      </c>
      <c r="T4" s="83"/>
      <c r="U4" s="14"/>
      <c r="V4" s="13">
        <v>190003574</v>
      </c>
      <c r="W4" s="14">
        <v>-45124.02</v>
      </c>
    </row>
    <row r="5" spans="1:23" x14ac:dyDescent="0.35">
      <c r="A5" s="19" t="s">
        <v>41</v>
      </c>
      <c r="B5" s="83">
        <v>190003247</v>
      </c>
      <c r="C5" s="14">
        <v>59620</v>
      </c>
      <c r="D5" s="13">
        <v>190003249</v>
      </c>
      <c r="E5" s="14">
        <v>-217200</v>
      </c>
      <c r="F5" s="10"/>
      <c r="G5" s="19" t="s">
        <v>202</v>
      </c>
      <c r="H5" s="83"/>
      <c r="I5" s="14"/>
      <c r="J5" s="13"/>
      <c r="K5" s="14"/>
      <c r="L5" s="10"/>
      <c r="M5" s="19" t="s">
        <v>235</v>
      </c>
      <c r="N5" s="83">
        <v>190003447</v>
      </c>
      <c r="O5" s="14">
        <v>26700.080000000002</v>
      </c>
      <c r="P5" s="13"/>
      <c r="Q5" s="14"/>
      <c r="R5" s="10"/>
      <c r="S5" s="19" t="s">
        <v>279</v>
      </c>
      <c r="T5" s="83"/>
      <c r="U5" s="14"/>
      <c r="V5" s="13"/>
      <c r="W5" s="14"/>
    </row>
    <row r="6" spans="1:23" x14ac:dyDescent="0.35">
      <c r="A6" s="19" t="s">
        <v>165</v>
      </c>
      <c r="B6" s="83"/>
      <c r="C6" s="14"/>
      <c r="D6" s="13">
        <v>190003400</v>
      </c>
      <c r="E6" s="15">
        <v>-23650</v>
      </c>
      <c r="F6" s="10"/>
      <c r="G6" s="19" t="s">
        <v>179</v>
      </c>
      <c r="H6" s="83"/>
      <c r="I6" s="14"/>
      <c r="J6" s="13"/>
      <c r="K6" s="15"/>
      <c r="L6" s="10"/>
      <c r="M6" s="19" t="s">
        <v>219</v>
      </c>
      <c r="N6" s="83"/>
      <c r="O6" s="14"/>
      <c r="P6" s="13"/>
      <c r="Q6" s="15"/>
      <c r="R6" s="10"/>
      <c r="S6" s="19" t="s">
        <v>278</v>
      </c>
      <c r="T6" s="83"/>
      <c r="U6" s="14"/>
      <c r="V6" s="13">
        <v>190003603</v>
      </c>
      <c r="W6" s="15">
        <v>-33399.949999999997</v>
      </c>
    </row>
    <row r="7" spans="1:23" x14ac:dyDescent="0.35">
      <c r="A7" s="19" t="s">
        <v>171</v>
      </c>
      <c r="B7" s="83"/>
      <c r="C7" s="14"/>
      <c r="D7" s="13"/>
      <c r="E7" s="14"/>
      <c r="F7" s="10"/>
      <c r="G7" s="19" t="s">
        <v>208</v>
      </c>
      <c r="H7" s="83"/>
      <c r="I7" s="14"/>
      <c r="J7" s="13">
        <v>190003438</v>
      </c>
      <c r="K7" s="14">
        <v>-37749.96</v>
      </c>
      <c r="L7" s="10"/>
      <c r="M7" s="19" t="s">
        <v>273</v>
      </c>
      <c r="N7" s="83"/>
      <c r="O7" s="14"/>
      <c r="P7" s="13">
        <v>190003584</v>
      </c>
      <c r="Q7" s="14">
        <v>-152646.76999999999</v>
      </c>
      <c r="R7" s="10"/>
      <c r="S7" s="19" t="s">
        <v>264</v>
      </c>
      <c r="T7" s="83"/>
      <c r="U7" s="14"/>
      <c r="V7" s="13"/>
      <c r="W7" s="14"/>
    </row>
    <row r="8" spans="1:23" x14ac:dyDescent="0.35">
      <c r="A8" s="19" t="s">
        <v>170</v>
      </c>
      <c r="B8" s="83"/>
      <c r="C8" s="14"/>
      <c r="D8" s="13"/>
      <c r="E8" s="14"/>
      <c r="F8" s="10"/>
      <c r="G8" s="19" t="s">
        <v>188</v>
      </c>
      <c r="H8" s="83"/>
      <c r="I8" s="14"/>
      <c r="J8" s="13"/>
      <c r="K8" s="14"/>
      <c r="L8" s="10"/>
      <c r="M8" s="19" t="s">
        <v>263</v>
      </c>
      <c r="N8" s="83">
        <v>190003579</v>
      </c>
      <c r="O8" s="14">
        <v>4351</v>
      </c>
      <c r="P8" s="13"/>
      <c r="Q8" s="14"/>
      <c r="R8" s="10"/>
      <c r="S8" s="19" t="s">
        <v>285</v>
      </c>
      <c r="T8" s="83"/>
      <c r="U8" s="14"/>
      <c r="V8" s="13"/>
      <c r="W8" s="14"/>
    </row>
    <row r="9" spans="1:23" x14ac:dyDescent="0.35">
      <c r="A9" s="19" t="s">
        <v>169</v>
      </c>
      <c r="B9" s="83"/>
      <c r="C9" s="14"/>
      <c r="D9" s="13"/>
      <c r="E9" s="14"/>
      <c r="F9" s="10"/>
      <c r="G9" s="19" t="s">
        <v>187</v>
      </c>
      <c r="H9" s="83"/>
      <c r="I9" s="14"/>
      <c r="J9" s="13">
        <v>190003437</v>
      </c>
      <c r="K9" s="14">
        <v>-23196</v>
      </c>
      <c r="L9" s="10"/>
      <c r="M9" s="19" t="s">
        <v>256</v>
      </c>
      <c r="N9" s="83"/>
      <c r="O9" s="14"/>
      <c r="P9" s="13">
        <v>190003580</v>
      </c>
      <c r="Q9" s="14">
        <v>-27246.04</v>
      </c>
      <c r="R9" s="10"/>
      <c r="S9" s="19" t="s">
        <v>94</v>
      </c>
      <c r="T9" s="83"/>
      <c r="U9" s="14"/>
      <c r="V9" s="13"/>
      <c r="W9" s="14"/>
    </row>
    <row r="10" spans="1:23" x14ac:dyDescent="0.35">
      <c r="A10" s="19" t="s">
        <v>164</v>
      </c>
      <c r="B10" s="83"/>
      <c r="C10" s="14"/>
      <c r="D10" s="13"/>
      <c r="E10" s="14"/>
      <c r="F10" s="10"/>
      <c r="G10" s="19" t="s">
        <v>175</v>
      </c>
      <c r="H10" s="83"/>
      <c r="I10" s="14"/>
      <c r="J10" s="13"/>
      <c r="K10" s="14"/>
      <c r="L10" s="10"/>
      <c r="M10" s="19" t="s">
        <v>267</v>
      </c>
      <c r="N10" s="83"/>
      <c r="O10" s="14"/>
      <c r="P10" s="13">
        <v>190003581</v>
      </c>
      <c r="Q10" s="14">
        <v>-73521</v>
      </c>
      <c r="R10" s="10"/>
      <c r="S10" s="19" t="s">
        <v>284</v>
      </c>
      <c r="T10" s="83"/>
      <c r="U10" s="14"/>
      <c r="V10" s="13">
        <v>190003747</v>
      </c>
      <c r="W10" s="14">
        <v>-4369.3</v>
      </c>
    </row>
    <row r="11" spans="1:23" x14ac:dyDescent="0.35">
      <c r="A11" s="19" t="s">
        <v>163</v>
      </c>
      <c r="B11" s="83"/>
      <c r="C11" s="14"/>
      <c r="D11" s="13"/>
      <c r="E11" s="14"/>
      <c r="F11" s="10"/>
      <c r="G11" s="19" t="s">
        <v>212</v>
      </c>
      <c r="H11" s="83">
        <v>190003430</v>
      </c>
      <c r="I11" s="14">
        <v>262374.69</v>
      </c>
      <c r="J11" s="13">
        <v>190003429</v>
      </c>
      <c r="K11" s="14">
        <v>-119496.19</v>
      </c>
      <c r="L11" s="10"/>
      <c r="M11" s="19" t="s">
        <v>265</v>
      </c>
      <c r="N11" s="83"/>
      <c r="O11" s="14"/>
      <c r="P11" s="13">
        <v>190003582</v>
      </c>
      <c r="Q11" s="14">
        <v>-11738.95</v>
      </c>
      <c r="R11" s="10"/>
      <c r="S11" s="19" t="s">
        <v>280</v>
      </c>
      <c r="T11" s="83"/>
      <c r="U11" s="14"/>
      <c r="V11" s="13">
        <v>190003748</v>
      </c>
      <c r="W11" s="14">
        <v>-495205.92</v>
      </c>
    </row>
    <row r="12" spans="1:23" x14ac:dyDescent="0.35">
      <c r="A12" s="19" t="s">
        <v>162</v>
      </c>
      <c r="B12" s="83"/>
      <c r="C12" s="14"/>
      <c r="D12" s="13"/>
      <c r="E12" s="14"/>
      <c r="F12" s="10"/>
      <c r="G12" s="19" t="s">
        <v>212</v>
      </c>
      <c r="H12" s="83">
        <v>190003428</v>
      </c>
      <c r="I12" s="14">
        <v>220693.38</v>
      </c>
      <c r="J12" s="13"/>
      <c r="K12" s="14"/>
      <c r="L12" s="10"/>
      <c r="M12" s="19" t="s">
        <v>270</v>
      </c>
      <c r="N12" s="83"/>
      <c r="O12" s="14"/>
      <c r="P12" s="13">
        <v>190003583</v>
      </c>
      <c r="Q12" s="14">
        <v>-20400.09</v>
      </c>
      <c r="R12" s="10"/>
      <c r="S12" s="19" t="s">
        <v>281</v>
      </c>
      <c r="T12" s="83"/>
      <c r="U12" s="14"/>
      <c r="V12" s="13">
        <v>190003746</v>
      </c>
      <c r="W12" s="14">
        <v>-107320.69</v>
      </c>
    </row>
    <row r="13" spans="1:23" x14ac:dyDescent="0.35">
      <c r="A13" s="19" t="s">
        <v>168</v>
      </c>
      <c r="B13" s="83">
        <v>190003384</v>
      </c>
      <c r="C13" s="14">
        <v>73100.25</v>
      </c>
      <c r="D13" s="13">
        <v>190003385</v>
      </c>
      <c r="E13" s="14">
        <v>-68747.67</v>
      </c>
      <c r="F13" s="10"/>
      <c r="G13" s="19" t="s">
        <v>45</v>
      </c>
      <c r="H13" s="83">
        <v>190003369</v>
      </c>
      <c r="I13" s="14">
        <v>107143.99</v>
      </c>
      <c r="J13" s="13">
        <v>190003368</v>
      </c>
      <c r="K13" s="14">
        <v>-257126.11</v>
      </c>
      <c r="L13" s="10"/>
      <c r="M13" s="19" t="s">
        <v>269</v>
      </c>
      <c r="N13" s="83"/>
      <c r="O13" s="14"/>
      <c r="P13" s="13"/>
      <c r="Q13" s="14"/>
      <c r="R13" s="10"/>
      <c r="S13" s="19" t="s">
        <v>282</v>
      </c>
      <c r="T13" s="83">
        <v>190003744</v>
      </c>
      <c r="U13" s="14">
        <v>74472.56</v>
      </c>
      <c r="V13" s="13">
        <v>190003745</v>
      </c>
      <c r="W13" s="14">
        <v>-159738.13</v>
      </c>
    </row>
    <row r="14" spans="1:23" x14ac:dyDescent="0.35">
      <c r="A14" s="19" t="s">
        <v>153</v>
      </c>
      <c r="B14" s="83"/>
      <c r="C14" s="14"/>
      <c r="D14" s="13"/>
      <c r="E14" s="14"/>
      <c r="F14" s="10"/>
      <c r="G14" s="19" t="s">
        <v>193</v>
      </c>
      <c r="H14" s="83"/>
      <c r="I14" s="14"/>
      <c r="J14" s="13">
        <v>190003207</v>
      </c>
      <c r="K14" s="14">
        <v>-108580.71</v>
      </c>
      <c r="L14" s="10"/>
      <c r="M14" s="19" t="s">
        <v>257</v>
      </c>
      <c r="N14" s="83"/>
      <c r="O14" s="14"/>
      <c r="P14" s="13"/>
      <c r="Q14" s="14"/>
      <c r="R14" s="10"/>
      <c r="S14" s="19"/>
      <c r="T14" s="83"/>
      <c r="U14" s="14"/>
      <c r="V14" s="13"/>
      <c r="W14" s="14"/>
    </row>
    <row r="15" spans="1:23" x14ac:dyDescent="0.35">
      <c r="A15" s="19" t="s">
        <v>152</v>
      </c>
      <c r="B15" s="83"/>
      <c r="C15" s="14"/>
      <c r="D15" s="13"/>
      <c r="E15" s="14"/>
      <c r="F15" s="10"/>
      <c r="G15" s="19" t="s">
        <v>192</v>
      </c>
      <c r="H15" s="83">
        <v>190003176</v>
      </c>
      <c r="I15" s="14">
        <v>53510.48</v>
      </c>
      <c r="J15" s="13">
        <v>190003175</v>
      </c>
      <c r="K15" s="14">
        <v>-26426</v>
      </c>
      <c r="L15" s="10"/>
      <c r="M15" s="19" t="s">
        <v>253</v>
      </c>
      <c r="N15" s="83"/>
      <c r="O15" s="14"/>
      <c r="P15" s="13"/>
      <c r="Q15" s="14"/>
      <c r="R15" s="10"/>
      <c r="S15" s="19"/>
      <c r="T15" s="83"/>
      <c r="U15" s="14"/>
      <c r="V15" s="13"/>
      <c r="W15" s="14"/>
    </row>
    <row r="16" spans="1:23" x14ac:dyDescent="0.35">
      <c r="A16" s="19" t="s">
        <v>157</v>
      </c>
      <c r="B16" s="83"/>
      <c r="C16" s="14"/>
      <c r="D16" s="13"/>
      <c r="E16" s="14"/>
      <c r="F16" s="10"/>
      <c r="G16" s="19" t="s">
        <v>192</v>
      </c>
      <c r="H16" s="83">
        <v>190003187</v>
      </c>
      <c r="I16" s="14">
        <v>36591.14</v>
      </c>
      <c r="J16" s="13">
        <v>190003185</v>
      </c>
      <c r="K16" s="14">
        <v>-42727.59</v>
      </c>
      <c r="L16" s="10"/>
      <c r="M16" s="19" t="s">
        <v>264</v>
      </c>
      <c r="N16" s="83"/>
      <c r="O16" s="14"/>
      <c r="P16" s="13"/>
      <c r="Q16" s="14"/>
      <c r="R16" s="10"/>
      <c r="S16" s="19"/>
      <c r="T16" s="83"/>
      <c r="U16" s="14"/>
      <c r="V16" s="13"/>
      <c r="W16" s="14"/>
    </row>
    <row r="17" spans="1:23" x14ac:dyDescent="0.35">
      <c r="A17" s="19" t="s">
        <v>161</v>
      </c>
      <c r="B17" s="83"/>
      <c r="C17" s="14"/>
      <c r="D17" s="13"/>
      <c r="E17" s="14"/>
      <c r="F17" s="10"/>
      <c r="G17" s="19" t="s">
        <v>192</v>
      </c>
      <c r="H17" s="83"/>
      <c r="I17" s="14"/>
      <c r="J17" s="13">
        <v>190003192</v>
      </c>
      <c r="K17" s="14">
        <v>-101816.4</v>
      </c>
      <c r="L17" s="10"/>
      <c r="M17" s="19" t="s">
        <v>189</v>
      </c>
      <c r="N17" s="83"/>
      <c r="O17" s="14"/>
      <c r="P17" s="13"/>
      <c r="Q17" s="14"/>
      <c r="R17" s="10"/>
      <c r="S17" s="19"/>
      <c r="T17" s="83"/>
      <c r="U17" s="14"/>
      <c r="V17" s="13"/>
      <c r="W17" s="14"/>
    </row>
    <row r="18" spans="1:23" x14ac:dyDescent="0.35">
      <c r="A18" s="19" t="s">
        <v>156</v>
      </c>
      <c r="B18" s="83"/>
      <c r="C18" s="14"/>
      <c r="D18" s="13"/>
      <c r="E18" s="14"/>
      <c r="F18" s="10"/>
      <c r="G18" s="19" t="s">
        <v>209</v>
      </c>
      <c r="H18" s="83"/>
      <c r="I18" s="14"/>
      <c r="J18" s="13"/>
      <c r="K18" s="14"/>
      <c r="L18" s="10"/>
      <c r="M18" s="19" t="s">
        <v>248</v>
      </c>
      <c r="N18" s="83"/>
      <c r="O18" s="14"/>
      <c r="P18" s="13"/>
      <c r="Q18" s="14"/>
      <c r="R18" s="10"/>
      <c r="S18" s="19"/>
      <c r="T18" s="83"/>
      <c r="U18" s="14"/>
      <c r="V18" s="13"/>
      <c r="W18" s="14"/>
    </row>
    <row r="19" spans="1:23" x14ac:dyDescent="0.35">
      <c r="A19" s="19" t="s">
        <v>155</v>
      </c>
      <c r="B19" s="83"/>
      <c r="C19" s="14"/>
      <c r="D19" s="13"/>
      <c r="E19" s="14"/>
      <c r="F19" s="10"/>
      <c r="G19" s="19" t="s">
        <v>58</v>
      </c>
      <c r="H19" s="83">
        <v>190003294</v>
      </c>
      <c r="I19" s="14">
        <v>56649.13</v>
      </c>
      <c r="J19" s="13">
        <v>190003295</v>
      </c>
      <c r="K19" s="14">
        <v>-96603.77</v>
      </c>
      <c r="L19" s="10"/>
      <c r="M19" s="19" t="s">
        <v>273</v>
      </c>
      <c r="N19" s="83"/>
      <c r="O19" s="14"/>
      <c r="P19" s="13">
        <v>190003585</v>
      </c>
      <c r="Q19" s="14">
        <v>-13200.26</v>
      </c>
      <c r="R19" s="10"/>
      <c r="S19" s="19"/>
      <c r="T19" s="83"/>
      <c r="U19" s="14"/>
      <c r="V19" s="13"/>
      <c r="W19" s="14"/>
    </row>
    <row r="20" spans="1:23" x14ac:dyDescent="0.35">
      <c r="A20" s="19" t="s">
        <v>151</v>
      </c>
      <c r="B20" s="83">
        <v>190003412</v>
      </c>
      <c r="C20" s="14">
        <v>101623.56</v>
      </c>
      <c r="D20" s="13">
        <v>190003413</v>
      </c>
      <c r="E20" s="14">
        <v>-58073.37</v>
      </c>
      <c r="F20" s="10"/>
      <c r="G20" s="19" t="s">
        <v>205</v>
      </c>
      <c r="H20" s="83"/>
      <c r="I20" s="14"/>
      <c r="J20" s="13">
        <v>190003310</v>
      </c>
      <c r="K20" s="14">
        <v>-64048.06</v>
      </c>
      <c r="L20" s="10"/>
      <c r="M20" s="19" t="s">
        <v>249</v>
      </c>
      <c r="N20" s="83"/>
      <c r="O20" s="14"/>
      <c r="P20" s="13">
        <v>190003590</v>
      </c>
      <c r="Q20" s="14">
        <v>-19432.09</v>
      </c>
      <c r="R20" s="10"/>
      <c r="S20" s="19"/>
      <c r="T20" s="83"/>
      <c r="U20" s="14"/>
      <c r="V20" s="13"/>
      <c r="W20" s="14"/>
    </row>
    <row r="21" spans="1:23" x14ac:dyDescent="0.35">
      <c r="A21" s="19" t="s">
        <v>150</v>
      </c>
      <c r="B21" s="83"/>
      <c r="C21" s="14"/>
      <c r="D21" s="13"/>
      <c r="E21" s="14"/>
      <c r="F21" s="10"/>
      <c r="G21" s="19" t="s">
        <v>177</v>
      </c>
      <c r="H21" s="83">
        <v>190003314</v>
      </c>
      <c r="I21" s="14">
        <v>58610.09</v>
      </c>
      <c r="J21" s="13">
        <v>190003313</v>
      </c>
      <c r="K21" s="14">
        <v>-79780.160000000003</v>
      </c>
      <c r="L21" s="10"/>
      <c r="M21" s="19" t="s">
        <v>249</v>
      </c>
      <c r="N21" s="83"/>
      <c r="O21" s="14"/>
      <c r="P21" s="13">
        <v>190003591</v>
      </c>
      <c r="Q21" s="14">
        <v>-7427.99</v>
      </c>
      <c r="R21" s="10"/>
      <c r="S21" s="19"/>
      <c r="T21" s="83"/>
      <c r="U21" s="14"/>
      <c r="V21" s="13"/>
      <c r="W21" s="14"/>
    </row>
    <row r="22" spans="1:23" x14ac:dyDescent="0.35">
      <c r="A22" s="19" t="s">
        <v>147</v>
      </c>
      <c r="B22" s="83"/>
      <c r="C22" s="14"/>
      <c r="D22" s="13"/>
      <c r="E22" s="14"/>
      <c r="F22" s="10"/>
      <c r="G22" s="19" t="s">
        <v>174</v>
      </c>
      <c r="H22" s="83"/>
      <c r="I22" s="14"/>
      <c r="J22" s="13"/>
      <c r="K22" s="14"/>
      <c r="L22" s="10"/>
      <c r="M22" s="19" t="s">
        <v>251</v>
      </c>
      <c r="N22" s="83"/>
      <c r="O22" s="14"/>
      <c r="P22" s="13">
        <v>190003588</v>
      </c>
      <c r="Q22" s="14">
        <v>-7770.01</v>
      </c>
      <c r="R22" s="10"/>
      <c r="S22" s="19"/>
      <c r="T22" s="83"/>
      <c r="U22" s="14"/>
      <c r="V22" s="13"/>
      <c r="W22" s="14"/>
    </row>
    <row r="23" spans="1:23" x14ac:dyDescent="0.35">
      <c r="A23" s="19" t="s">
        <v>145</v>
      </c>
      <c r="B23" s="83"/>
      <c r="C23" s="14"/>
      <c r="D23" s="13"/>
      <c r="E23" s="14"/>
      <c r="F23" s="10"/>
      <c r="G23" s="19" t="s">
        <v>203</v>
      </c>
      <c r="H23" s="83"/>
      <c r="I23" s="14"/>
      <c r="J23" s="13"/>
      <c r="K23" s="14"/>
      <c r="L23" s="10"/>
      <c r="M23" s="19" t="s">
        <v>252</v>
      </c>
      <c r="N23" s="83"/>
      <c r="O23" s="14"/>
      <c r="P23" s="13">
        <v>190003589</v>
      </c>
      <c r="Q23" s="14">
        <v>-51078.3</v>
      </c>
      <c r="R23" s="10"/>
      <c r="S23" s="19"/>
      <c r="T23" s="83"/>
      <c r="U23" s="14"/>
      <c r="V23" s="13"/>
      <c r="W23" s="14"/>
    </row>
    <row r="24" spans="1:23" x14ac:dyDescent="0.35">
      <c r="A24" s="19" t="s">
        <v>144</v>
      </c>
      <c r="B24" s="83"/>
      <c r="C24" s="14"/>
      <c r="D24" s="13"/>
      <c r="E24" s="14"/>
      <c r="F24" s="10"/>
      <c r="G24" s="19" t="s">
        <v>190</v>
      </c>
      <c r="H24" s="83"/>
      <c r="I24" s="14"/>
      <c r="J24" s="13"/>
      <c r="K24" s="14"/>
      <c r="L24" s="10"/>
      <c r="M24" s="19" t="s">
        <v>250</v>
      </c>
      <c r="N24" s="83"/>
      <c r="O24" s="14"/>
      <c r="P24" s="13">
        <v>190003604</v>
      </c>
      <c r="Q24" s="14">
        <v>-18542.79</v>
      </c>
      <c r="R24" s="10"/>
      <c r="S24" s="19"/>
      <c r="T24" s="83"/>
      <c r="U24" s="14"/>
      <c r="V24" s="13"/>
      <c r="W24" s="14"/>
    </row>
    <row r="25" spans="1:23" x14ac:dyDescent="0.35">
      <c r="A25" s="19" t="s">
        <v>143</v>
      </c>
      <c r="B25" s="83"/>
      <c r="C25" s="14"/>
      <c r="D25" s="13"/>
      <c r="E25" s="14"/>
      <c r="F25" s="10"/>
      <c r="G25" s="19" t="s">
        <v>197</v>
      </c>
      <c r="H25" s="83"/>
      <c r="I25" s="14"/>
      <c r="J25" s="13">
        <v>190003484</v>
      </c>
      <c r="K25" s="14">
        <v>-400000</v>
      </c>
      <c r="L25" s="10"/>
      <c r="M25" s="19" t="s">
        <v>247</v>
      </c>
      <c r="N25" s="83">
        <v>190003606</v>
      </c>
      <c r="O25" s="14">
        <v>31438.95</v>
      </c>
      <c r="P25" s="13">
        <v>190003607</v>
      </c>
      <c r="Q25" s="14">
        <v>-126284.74</v>
      </c>
      <c r="R25" s="10"/>
      <c r="S25" s="19"/>
      <c r="T25" s="83"/>
      <c r="U25" s="14"/>
      <c r="V25" s="13"/>
      <c r="W25" s="14"/>
    </row>
    <row r="26" spans="1:23" x14ac:dyDescent="0.35">
      <c r="A26" s="19" t="s">
        <v>142</v>
      </c>
      <c r="B26" s="83">
        <v>190003414</v>
      </c>
      <c r="C26" s="14">
        <v>14610.69</v>
      </c>
      <c r="D26" s="13"/>
      <c r="E26" s="14"/>
      <c r="F26" s="10"/>
      <c r="G26" s="19" t="s">
        <v>194</v>
      </c>
      <c r="H26" s="83"/>
      <c r="I26" s="14"/>
      <c r="J26" s="13"/>
      <c r="K26" s="14"/>
      <c r="L26" s="10"/>
      <c r="M26" s="19" t="s">
        <v>246</v>
      </c>
      <c r="N26" s="83"/>
      <c r="O26" s="14"/>
      <c r="P26" s="13"/>
      <c r="Q26" s="14"/>
      <c r="R26" s="10"/>
      <c r="S26" s="19"/>
      <c r="T26" s="83"/>
      <c r="U26" s="14"/>
      <c r="V26" s="13"/>
      <c r="W26" s="14"/>
    </row>
    <row r="27" spans="1:23" x14ac:dyDescent="0.35">
      <c r="A27" s="19" t="s">
        <v>292</v>
      </c>
      <c r="B27" s="83"/>
      <c r="C27" s="14"/>
      <c r="D27" s="13">
        <v>190003415</v>
      </c>
      <c r="E27" s="14">
        <v>-25496.69</v>
      </c>
      <c r="F27" s="10"/>
      <c r="G27" s="19" t="s">
        <v>195</v>
      </c>
      <c r="H27" s="83"/>
      <c r="I27" s="14"/>
      <c r="J27" s="13"/>
      <c r="K27" s="14"/>
      <c r="L27" s="10"/>
      <c r="M27" s="19" t="s">
        <v>245</v>
      </c>
      <c r="N27" s="83"/>
      <c r="O27" s="14"/>
      <c r="P27" s="13">
        <v>190003622</v>
      </c>
      <c r="Q27" s="14">
        <v>-42589.8</v>
      </c>
      <c r="R27" s="10"/>
      <c r="S27" s="19"/>
      <c r="T27" s="83"/>
      <c r="U27" s="14"/>
      <c r="V27" s="13"/>
      <c r="W27" s="14"/>
    </row>
    <row r="28" spans="1:23" x14ac:dyDescent="0.35">
      <c r="A28" s="19" t="s">
        <v>293</v>
      </c>
      <c r="B28" s="83">
        <v>190003409</v>
      </c>
      <c r="C28" s="14">
        <v>11950</v>
      </c>
      <c r="D28" s="13">
        <v>190003423</v>
      </c>
      <c r="E28" s="14">
        <v>-41700</v>
      </c>
      <c r="F28" s="10"/>
      <c r="G28" s="19" t="s">
        <v>109</v>
      </c>
      <c r="H28" s="83"/>
      <c r="I28" s="14"/>
      <c r="J28" s="13"/>
      <c r="K28" s="14"/>
      <c r="L28" s="10"/>
      <c r="M28" s="19" t="s">
        <v>137</v>
      </c>
      <c r="N28" s="83"/>
      <c r="O28" s="14"/>
      <c r="P28" s="13"/>
      <c r="Q28" s="14"/>
      <c r="R28" s="10"/>
      <c r="S28" s="19"/>
      <c r="T28" s="83"/>
      <c r="U28" s="14"/>
      <c r="V28" s="13"/>
      <c r="W28" s="14"/>
    </row>
    <row r="29" spans="1:23" x14ac:dyDescent="0.35">
      <c r="A29" s="19" t="s">
        <v>294</v>
      </c>
      <c r="B29" s="83">
        <v>190003421</v>
      </c>
      <c r="C29" s="14">
        <v>16561.05</v>
      </c>
      <c r="D29" s="13">
        <v>190003422</v>
      </c>
      <c r="E29" s="14">
        <v>-4549.8900000000003</v>
      </c>
      <c r="F29" s="10"/>
      <c r="G29" s="19" t="s">
        <v>189</v>
      </c>
      <c r="H29" s="83"/>
      <c r="I29" s="14"/>
      <c r="J29" s="13"/>
      <c r="K29" s="14"/>
      <c r="L29" s="10"/>
      <c r="M29" s="19" t="s">
        <v>240</v>
      </c>
      <c r="N29" s="83">
        <v>190003623</v>
      </c>
      <c r="O29" s="14">
        <v>142201.43</v>
      </c>
      <c r="P29" s="13">
        <v>190003624</v>
      </c>
      <c r="Q29" s="14">
        <v>-201142.12</v>
      </c>
      <c r="R29" s="10"/>
      <c r="S29" s="19"/>
      <c r="T29" s="83"/>
      <c r="U29" s="14"/>
      <c r="V29" s="13"/>
      <c r="W29" s="14"/>
    </row>
    <row r="30" spans="1:23" x14ac:dyDescent="0.35">
      <c r="A30" s="19" t="s">
        <v>136</v>
      </c>
      <c r="B30" s="83"/>
      <c r="C30" s="14"/>
      <c r="D30" s="13"/>
      <c r="E30" s="14"/>
      <c r="F30" s="10"/>
      <c r="G30" s="19" t="s">
        <v>186</v>
      </c>
      <c r="H30" s="83"/>
      <c r="I30" s="14"/>
      <c r="J30" s="13"/>
      <c r="K30" s="14"/>
      <c r="L30" s="10"/>
      <c r="M30" s="19" t="s">
        <v>239</v>
      </c>
      <c r="N30" s="83">
        <v>190003631</v>
      </c>
      <c r="O30" s="14">
        <v>98363.24</v>
      </c>
      <c r="P30" s="13">
        <v>190003632</v>
      </c>
      <c r="Q30" s="14">
        <v>-10930.63</v>
      </c>
      <c r="R30" s="10"/>
      <c r="S30" s="19"/>
      <c r="T30" s="83"/>
      <c r="U30" s="14"/>
      <c r="V30" s="13"/>
      <c r="W30" s="14"/>
    </row>
    <row r="31" spans="1:23" x14ac:dyDescent="0.35">
      <c r="A31" s="19" t="s">
        <v>159</v>
      </c>
      <c r="B31" s="83">
        <v>190003420</v>
      </c>
      <c r="C31" s="14">
        <v>382014.12</v>
      </c>
      <c r="D31" s="13"/>
      <c r="E31" s="14"/>
      <c r="F31" s="10"/>
      <c r="G31" s="19" t="s">
        <v>185</v>
      </c>
      <c r="H31" s="83"/>
      <c r="I31" s="14"/>
      <c r="J31" s="13"/>
      <c r="K31" s="14"/>
      <c r="L31" s="10"/>
      <c r="M31" s="19" t="s">
        <v>46</v>
      </c>
      <c r="N31" s="83"/>
      <c r="O31" s="14"/>
      <c r="P31" s="13"/>
      <c r="Q31" s="14"/>
      <c r="R31" s="10"/>
      <c r="S31" s="19"/>
      <c r="T31" s="83"/>
      <c r="U31" s="14"/>
      <c r="V31" s="13"/>
      <c r="W31" s="14"/>
    </row>
    <row r="32" spans="1:23" x14ac:dyDescent="0.35">
      <c r="A32" s="19" t="s">
        <v>295</v>
      </c>
      <c r="B32" s="83"/>
      <c r="C32" s="14"/>
      <c r="D32" s="13">
        <v>190003419</v>
      </c>
      <c r="E32" s="14">
        <v>-14990</v>
      </c>
      <c r="F32" s="10"/>
      <c r="G32" s="19" t="s">
        <v>182</v>
      </c>
      <c r="H32" s="83"/>
      <c r="I32" s="14"/>
      <c r="J32" s="13"/>
      <c r="K32" s="14"/>
      <c r="L32" s="10"/>
      <c r="M32" s="19" t="s">
        <v>236</v>
      </c>
      <c r="N32" s="83">
        <v>190003630</v>
      </c>
      <c r="O32" s="14">
        <v>2926.08</v>
      </c>
      <c r="P32" s="13"/>
      <c r="Q32" s="14"/>
      <c r="R32" s="10"/>
      <c r="S32" s="19"/>
      <c r="T32" s="83"/>
      <c r="U32" s="14"/>
      <c r="V32" s="13"/>
      <c r="W32" s="14"/>
    </row>
    <row r="33" spans="1:23" x14ac:dyDescent="0.35">
      <c r="A33" s="19" t="s">
        <v>116</v>
      </c>
      <c r="B33" s="84"/>
      <c r="C33" s="15"/>
      <c r="D33" s="16">
        <v>190003497</v>
      </c>
      <c r="E33" s="15">
        <v>-12429.64</v>
      </c>
      <c r="F33" s="10"/>
      <c r="G33" s="19" t="s">
        <v>183</v>
      </c>
      <c r="H33" s="84"/>
      <c r="I33" s="15"/>
      <c r="J33" s="16"/>
      <c r="K33" s="15"/>
      <c r="L33" s="10"/>
      <c r="M33" s="19" t="s">
        <v>199</v>
      </c>
      <c r="N33" s="84"/>
      <c r="O33" s="15"/>
      <c r="P33" s="16"/>
      <c r="Q33" s="15"/>
      <c r="R33" s="10"/>
      <c r="S33" s="19"/>
      <c r="T33" s="84"/>
      <c r="U33" s="15"/>
      <c r="V33" s="16"/>
      <c r="W33" s="15"/>
    </row>
    <row r="34" spans="1:23" x14ac:dyDescent="0.35">
      <c r="A34" s="19" t="s">
        <v>118</v>
      </c>
      <c r="B34" s="84"/>
      <c r="C34" s="15"/>
      <c r="D34" s="16"/>
      <c r="E34" s="15"/>
      <c r="F34" s="10"/>
      <c r="G34" s="19" t="s">
        <v>191</v>
      </c>
      <c r="H34" s="84"/>
      <c r="I34" s="15"/>
      <c r="J34" s="16"/>
      <c r="K34" s="15"/>
      <c r="L34" s="10"/>
      <c r="M34" s="19" t="s">
        <v>238</v>
      </c>
      <c r="N34" s="84">
        <v>190003634</v>
      </c>
      <c r="O34" s="15">
        <v>22356.14</v>
      </c>
      <c r="P34" s="16">
        <v>190003633</v>
      </c>
      <c r="Q34" s="15">
        <v>-87760.01</v>
      </c>
      <c r="R34" s="10"/>
      <c r="S34" s="19"/>
      <c r="T34" s="84"/>
      <c r="U34" s="15"/>
      <c r="V34" s="16"/>
      <c r="W34" s="15"/>
    </row>
    <row r="35" spans="1:23" x14ac:dyDescent="0.35">
      <c r="A35" s="19" t="s">
        <v>115</v>
      </c>
      <c r="B35" s="84"/>
      <c r="C35" s="15"/>
      <c r="D35" s="16"/>
      <c r="E35" s="15"/>
      <c r="F35" s="10"/>
      <c r="G35" s="19" t="s">
        <v>181</v>
      </c>
      <c r="H35" s="84"/>
      <c r="I35" s="15"/>
      <c r="J35" s="16"/>
      <c r="K35" s="15"/>
      <c r="L35" s="10"/>
      <c r="M35" s="19" t="s">
        <v>36</v>
      </c>
      <c r="N35" s="84"/>
      <c r="O35" s="15"/>
      <c r="P35" s="16"/>
      <c r="Q35" s="15"/>
      <c r="R35" s="10"/>
      <c r="S35" s="19"/>
      <c r="T35" s="84"/>
      <c r="U35" s="15"/>
      <c r="V35" s="16"/>
      <c r="W35" s="15"/>
    </row>
    <row r="36" spans="1:23" x14ac:dyDescent="0.35">
      <c r="A36" s="19" t="s">
        <v>137</v>
      </c>
      <c r="B36" s="84">
        <v>190003424</v>
      </c>
      <c r="C36" s="15">
        <v>12000</v>
      </c>
      <c r="D36" s="16">
        <v>190003425</v>
      </c>
      <c r="E36" s="15">
        <v>-47000</v>
      </c>
      <c r="F36" s="10"/>
      <c r="G36" s="19" t="s">
        <v>184</v>
      </c>
      <c r="H36" s="84"/>
      <c r="I36" s="15"/>
      <c r="J36" s="16"/>
      <c r="K36" s="15"/>
      <c r="L36" s="10"/>
      <c r="M36" s="19" t="s">
        <v>37</v>
      </c>
      <c r="N36" s="84"/>
      <c r="O36" s="15"/>
      <c r="P36" s="16"/>
      <c r="Q36" s="15"/>
      <c r="R36" s="10"/>
      <c r="S36" s="19"/>
      <c r="T36" s="84"/>
      <c r="U36" s="15"/>
      <c r="V36" s="16"/>
      <c r="W36" s="15"/>
    </row>
    <row r="37" spans="1:23" x14ac:dyDescent="0.35">
      <c r="A37" s="19" t="s">
        <v>135</v>
      </c>
      <c r="B37" s="84">
        <v>190003426</v>
      </c>
      <c r="C37" s="15">
        <v>25580</v>
      </c>
      <c r="D37" s="16"/>
      <c r="E37" s="15"/>
      <c r="F37" s="10"/>
      <c r="G37" s="19" t="s">
        <v>185</v>
      </c>
      <c r="H37" s="84"/>
      <c r="I37" s="15"/>
      <c r="J37" s="16"/>
      <c r="K37" s="15"/>
      <c r="L37" s="10"/>
      <c r="M37" s="19" t="s">
        <v>175</v>
      </c>
      <c r="N37" s="84">
        <v>190003640</v>
      </c>
      <c r="O37" s="15">
        <v>1990</v>
      </c>
      <c r="P37" s="16">
        <v>190003642</v>
      </c>
      <c r="Q37" s="15">
        <v>-118590</v>
      </c>
      <c r="R37" s="10"/>
      <c r="S37" s="19"/>
      <c r="T37" s="84"/>
      <c r="U37" s="15"/>
      <c r="V37" s="16"/>
      <c r="W37" s="15"/>
    </row>
    <row r="38" spans="1:23" x14ac:dyDescent="0.35">
      <c r="A38" s="19" t="s">
        <v>133</v>
      </c>
      <c r="B38" s="84"/>
      <c r="C38" s="15"/>
      <c r="D38" s="16">
        <v>190003427</v>
      </c>
      <c r="E38" s="15">
        <v>-5490</v>
      </c>
      <c r="F38" s="10"/>
      <c r="G38" s="19" t="s">
        <v>196</v>
      </c>
      <c r="H38" s="84"/>
      <c r="I38" s="15"/>
      <c r="J38" s="16"/>
      <c r="K38" s="15"/>
      <c r="L38" s="10"/>
      <c r="M38" s="19" t="s">
        <v>42</v>
      </c>
      <c r="N38" s="84">
        <v>190003639</v>
      </c>
      <c r="O38" s="15">
        <v>31162.57</v>
      </c>
      <c r="P38" s="16">
        <v>190003641</v>
      </c>
      <c r="Q38" s="15">
        <v>-87060.27</v>
      </c>
      <c r="R38" s="10"/>
      <c r="S38" s="19"/>
      <c r="T38" s="84"/>
      <c r="U38" s="15"/>
      <c r="V38" s="16"/>
      <c r="W38" s="15"/>
    </row>
    <row r="39" spans="1:23" x14ac:dyDescent="0.35">
      <c r="A39" s="19" t="s">
        <v>132</v>
      </c>
      <c r="B39" s="84"/>
      <c r="C39" s="15"/>
      <c r="D39" s="16"/>
      <c r="E39" s="15"/>
      <c r="F39" s="10"/>
      <c r="G39" s="19" t="s">
        <v>198</v>
      </c>
      <c r="H39" s="84"/>
      <c r="I39" s="15"/>
      <c r="J39" s="16"/>
      <c r="K39" s="15"/>
      <c r="L39" s="10"/>
      <c r="M39" s="19" t="s">
        <v>40</v>
      </c>
      <c r="N39" s="84">
        <v>190003752</v>
      </c>
      <c r="O39" s="15">
        <v>1121978.6499999999</v>
      </c>
      <c r="P39" s="16">
        <v>190003765</v>
      </c>
      <c r="Q39" s="15">
        <v>-627314.86</v>
      </c>
      <c r="R39" s="10"/>
      <c r="S39" s="19"/>
      <c r="T39" s="84"/>
      <c r="U39" s="15"/>
      <c r="V39" s="16"/>
      <c r="W39" s="15"/>
    </row>
    <row r="40" spans="1:23" x14ac:dyDescent="0.35">
      <c r="A40" s="19" t="s">
        <v>131</v>
      </c>
      <c r="B40" s="84"/>
      <c r="C40" s="15"/>
      <c r="D40" s="16"/>
      <c r="E40" s="15"/>
      <c r="F40" s="10"/>
      <c r="G40" s="19" t="s">
        <v>200</v>
      </c>
      <c r="H40" s="84"/>
      <c r="I40" s="15"/>
      <c r="J40" s="16"/>
      <c r="K40" s="15"/>
      <c r="L40" s="10"/>
      <c r="M40" s="19"/>
      <c r="N40" s="84"/>
      <c r="O40" s="15"/>
      <c r="P40" s="16"/>
      <c r="Q40" s="15"/>
      <c r="R40" s="10"/>
      <c r="S40" s="19"/>
      <c r="T40" s="84"/>
      <c r="U40" s="15"/>
      <c r="V40" s="16"/>
      <c r="W40" s="15"/>
    </row>
    <row r="41" spans="1:23" x14ac:dyDescent="0.35">
      <c r="A41" s="19" t="s">
        <v>130</v>
      </c>
      <c r="B41" s="84"/>
      <c r="C41" s="15"/>
      <c r="D41" s="16"/>
      <c r="E41" s="15"/>
      <c r="F41" s="10"/>
      <c r="G41" s="19" t="s">
        <v>217</v>
      </c>
      <c r="H41" s="84"/>
      <c r="I41" s="15"/>
      <c r="J41" s="16"/>
      <c r="K41" s="15"/>
      <c r="L41" s="10"/>
      <c r="M41" s="19"/>
      <c r="N41" s="84"/>
      <c r="O41" s="15"/>
      <c r="P41" s="16"/>
      <c r="Q41" s="15"/>
      <c r="R41" s="10"/>
      <c r="S41" s="19"/>
      <c r="T41" s="84"/>
      <c r="U41" s="15"/>
      <c r="V41" s="16"/>
      <c r="W41" s="15"/>
    </row>
    <row r="42" spans="1:23" x14ac:dyDescent="0.35">
      <c r="A42" s="19" t="s">
        <v>126</v>
      </c>
      <c r="B42" s="84"/>
      <c r="C42" s="15"/>
      <c r="D42" s="16"/>
      <c r="E42" s="15"/>
      <c r="F42" s="10"/>
      <c r="G42" s="19" t="s">
        <v>221</v>
      </c>
      <c r="H42" s="84"/>
      <c r="I42" s="15"/>
      <c r="J42" s="16"/>
      <c r="K42" s="15"/>
      <c r="L42" s="10"/>
      <c r="M42" s="19"/>
      <c r="N42" s="84"/>
      <c r="O42" s="15"/>
      <c r="P42" s="16"/>
      <c r="Q42" s="15"/>
      <c r="R42" s="10"/>
      <c r="S42" s="19"/>
      <c r="T42" s="84"/>
      <c r="U42" s="15"/>
      <c r="V42" s="16"/>
      <c r="W42" s="15"/>
    </row>
    <row r="43" spans="1:23" x14ac:dyDescent="0.35">
      <c r="A43" s="19" t="s">
        <v>122</v>
      </c>
      <c r="B43" s="84">
        <v>190003432</v>
      </c>
      <c r="C43" s="15">
        <v>24500</v>
      </c>
      <c r="D43" s="16"/>
      <c r="E43" s="15"/>
      <c r="F43" s="10"/>
      <c r="G43" s="19" t="s">
        <v>206</v>
      </c>
      <c r="H43" s="84"/>
      <c r="I43" s="15"/>
      <c r="J43" s="16"/>
      <c r="K43" s="15"/>
      <c r="L43" s="10"/>
      <c r="M43" s="19"/>
      <c r="N43" s="84"/>
      <c r="O43" s="15"/>
      <c r="P43" s="16"/>
      <c r="Q43" s="15"/>
      <c r="R43" s="10"/>
      <c r="S43" s="19"/>
      <c r="T43" s="84"/>
      <c r="U43" s="15"/>
      <c r="V43" s="16"/>
      <c r="W43" s="15"/>
    </row>
    <row r="44" spans="1:23" x14ac:dyDescent="0.35">
      <c r="A44" s="19" t="s">
        <v>121</v>
      </c>
      <c r="B44" s="84"/>
      <c r="C44" s="15"/>
      <c r="D44" s="16">
        <v>190003431</v>
      </c>
      <c r="E44" s="15">
        <v>-95937.43</v>
      </c>
      <c r="F44" s="10"/>
      <c r="G44" s="19" t="s">
        <v>199</v>
      </c>
      <c r="H44" s="84"/>
      <c r="I44" s="15"/>
      <c r="J44" s="16"/>
      <c r="K44" s="15"/>
      <c r="L44" s="10"/>
      <c r="M44" s="19"/>
      <c r="N44" s="84"/>
      <c r="O44" s="15"/>
      <c r="P44" s="16"/>
      <c r="Q44" s="15"/>
      <c r="R44" s="10"/>
      <c r="S44" s="19"/>
      <c r="T44" s="84"/>
      <c r="U44" s="15"/>
      <c r="V44" s="16"/>
      <c r="W44" s="15"/>
    </row>
    <row r="45" spans="1:23" x14ac:dyDescent="0.35">
      <c r="A45" s="19" t="s">
        <v>135</v>
      </c>
      <c r="B45" s="84"/>
      <c r="C45" s="15"/>
      <c r="D45" s="16">
        <v>190003213</v>
      </c>
      <c r="E45" s="15">
        <v>-13060</v>
      </c>
      <c r="F45" s="10"/>
      <c r="G45" s="19" t="s">
        <v>220</v>
      </c>
      <c r="H45" s="84"/>
      <c r="I45" s="15"/>
      <c r="J45" s="16"/>
      <c r="K45" s="15"/>
      <c r="L45" s="10"/>
      <c r="M45" s="19"/>
      <c r="N45" s="84"/>
      <c r="O45" s="15"/>
      <c r="P45" s="16"/>
      <c r="Q45" s="15"/>
      <c r="R45" s="10"/>
      <c r="S45" s="19"/>
      <c r="T45" s="84"/>
      <c r="U45" s="15"/>
      <c r="V45" s="16"/>
      <c r="W45" s="15"/>
    </row>
    <row r="46" spans="1:23" x14ac:dyDescent="0.35">
      <c r="A46" s="19" t="s">
        <v>119</v>
      </c>
      <c r="B46" s="84">
        <v>190003481</v>
      </c>
      <c r="C46" s="15">
        <v>83048.13</v>
      </c>
      <c r="D46" s="16">
        <v>190003480</v>
      </c>
      <c r="E46" s="15">
        <v>-122251.97</v>
      </c>
      <c r="F46" s="10"/>
      <c r="G46" s="19" t="s">
        <v>210</v>
      </c>
      <c r="H46" s="84"/>
      <c r="I46" s="15"/>
      <c r="J46" s="16"/>
      <c r="K46" s="15"/>
      <c r="L46" s="10"/>
      <c r="M46" s="19"/>
      <c r="N46" s="84"/>
      <c r="O46" s="15"/>
      <c r="P46" s="16"/>
      <c r="Q46" s="15"/>
      <c r="R46" s="10"/>
      <c r="S46" s="19"/>
      <c r="T46" s="84"/>
      <c r="U46" s="15"/>
      <c r="V46" s="16"/>
      <c r="W46" s="15"/>
    </row>
    <row r="47" spans="1:23" x14ac:dyDescent="0.35">
      <c r="A47" s="19" t="s">
        <v>57</v>
      </c>
      <c r="B47" s="84">
        <v>190003482</v>
      </c>
      <c r="C47" s="15">
        <v>61612.08</v>
      </c>
      <c r="D47" s="16">
        <v>190003483</v>
      </c>
      <c r="E47" s="15">
        <v>-91162.55</v>
      </c>
      <c r="F47" s="10"/>
      <c r="G47" s="19" t="s">
        <v>213</v>
      </c>
      <c r="H47" s="84"/>
      <c r="I47" s="15"/>
      <c r="J47" s="16"/>
      <c r="K47" s="15"/>
      <c r="L47" s="10"/>
      <c r="M47" s="19"/>
      <c r="N47" s="84"/>
      <c r="O47" s="15"/>
      <c r="P47" s="16"/>
      <c r="Q47" s="15"/>
      <c r="R47" s="10"/>
      <c r="S47" s="19"/>
      <c r="T47" s="84"/>
      <c r="U47" s="15"/>
      <c r="V47" s="16"/>
      <c r="W47" s="15"/>
    </row>
    <row r="48" spans="1:23" x14ac:dyDescent="0.35">
      <c r="A48" s="19" t="s">
        <v>88</v>
      </c>
      <c r="B48" s="84"/>
      <c r="C48" s="15"/>
      <c r="D48" s="16">
        <v>190003487</v>
      </c>
      <c r="E48" s="15">
        <v>-14937.21</v>
      </c>
      <c r="F48" s="10"/>
      <c r="G48" s="19" t="s">
        <v>214</v>
      </c>
      <c r="H48" s="84"/>
      <c r="I48" s="15"/>
      <c r="J48" s="16"/>
      <c r="K48" s="15"/>
      <c r="L48" s="10"/>
      <c r="M48" s="19"/>
      <c r="N48" s="84"/>
      <c r="O48" s="15"/>
      <c r="P48" s="16"/>
      <c r="Q48" s="15"/>
      <c r="R48" s="10"/>
      <c r="S48" s="19"/>
      <c r="T48" s="84"/>
      <c r="U48" s="15"/>
      <c r="V48" s="16"/>
      <c r="W48" s="15"/>
    </row>
    <row r="49" spans="1:23" x14ac:dyDescent="0.35">
      <c r="A49" s="19" t="s">
        <v>97</v>
      </c>
      <c r="B49" s="84"/>
      <c r="C49" s="15"/>
      <c r="D49" s="16"/>
      <c r="E49" s="15"/>
      <c r="F49" s="10"/>
      <c r="G49" s="19" t="s">
        <v>201</v>
      </c>
      <c r="H49" s="84"/>
      <c r="I49" s="15"/>
      <c r="J49" s="16"/>
      <c r="K49" s="15"/>
      <c r="L49" s="10"/>
      <c r="M49" s="19"/>
      <c r="N49" s="84"/>
      <c r="O49" s="15"/>
      <c r="P49" s="16"/>
      <c r="Q49" s="15"/>
      <c r="R49" s="10"/>
      <c r="S49" s="19"/>
      <c r="T49" s="84"/>
      <c r="U49" s="15"/>
      <c r="V49" s="16"/>
      <c r="W49" s="15"/>
    </row>
    <row r="50" spans="1:23" x14ac:dyDescent="0.35">
      <c r="A50" s="19" t="s">
        <v>100</v>
      </c>
      <c r="B50" s="84"/>
      <c r="C50" s="15"/>
      <c r="D50" s="16">
        <v>190003486</v>
      </c>
      <c r="E50" s="15">
        <v>-56500</v>
      </c>
      <c r="F50" s="10"/>
      <c r="G50" s="19" t="s">
        <v>117</v>
      </c>
      <c r="H50" s="84"/>
      <c r="I50" s="15"/>
      <c r="J50" s="16"/>
      <c r="K50" s="15"/>
      <c r="L50" s="10"/>
      <c r="M50" s="19"/>
      <c r="N50" s="84"/>
      <c r="O50" s="15"/>
      <c r="P50" s="16"/>
      <c r="Q50" s="15"/>
      <c r="R50" s="10"/>
      <c r="S50" s="19"/>
      <c r="T50" s="84"/>
      <c r="U50" s="15"/>
      <c r="V50" s="16"/>
      <c r="W50" s="15"/>
    </row>
    <row r="51" spans="1:23" x14ac:dyDescent="0.35">
      <c r="A51" s="19" t="s">
        <v>68</v>
      </c>
      <c r="B51" s="84"/>
      <c r="C51" s="15"/>
      <c r="D51" s="16"/>
      <c r="E51" s="15"/>
      <c r="F51" s="10"/>
      <c r="G51" s="19" t="s">
        <v>215</v>
      </c>
      <c r="H51" s="84"/>
      <c r="I51" s="15"/>
      <c r="J51" s="16"/>
      <c r="K51" s="15"/>
      <c r="L51" s="10"/>
      <c r="M51" s="19"/>
      <c r="N51" s="84"/>
      <c r="O51" s="15"/>
      <c r="P51" s="16"/>
      <c r="Q51" s="15"/>
      <c r="R51" s="10"/>
      <c r="S51" s="19"/>
      <c r="T51" s="84"/>
      <c r="U51" s="15"/>
      <c r="V51" s="16"/>
      <c r="W51" s="15"/>
    </row>
    <row r="52" spans="1:23" x14ac:dyDescent="0.35">
      <c r="A52" s="19" t="s">
        <v>76</v>
      </c>
      <c r="B52" s="84"/>
      <c r="C52" s="15"/>
      <c r="D52" s="16"/>
      <c r="E52" s="15"/>
      <c r="F52" s="10"/>
      <c r="G52" s="19" t="s">
        <v>227</v>
      </c>
      <c r="H52" s="84"/>
      <c r="I52" s="15"/>
      <c r="J52" s="16"/>
      <c r="K52" s="15"/>
      <c r="L52" s="10"/>
      <c r="M52" s="19"/>
      <c r="N52" s="84"/>
      <c r="O52" s="15"/>
      <c r="P52" s="16"/>
      <c r="Q52" s="15"/>
      <c r="R52" s="10"/>
      <c r="S52" s="19"/>
      <c r="T52" s="84"/>
      <c r="U52" s="15"/>
      <c r="V52" s="16"/>
      <c r="W52" s="15"/>
    </row>
    <row r="53" spans="1:23" x14ac:dyDescent="0.35">
      <c r="A53" s="19" t="s">
        <v>90</v>
      </c>
      <c r="B53" s="84"/>
      <c r="C53" s="15"/>
      <c r="D53" s="16">
        <v>190003485</v>
      </c>
      <c r="E53" s="15">
        <v>-32040.43</v>
      </c>
      <c r="F53" s="10"/>
      <c r="G53" s="19" t="s">
        <v>228</v>
      </c>
      <c r="H53" s="84"/>
      <c r="I53" s="15"/>
      <c r="J53" s="16"/>
      <c r="K53" s="15"/>
      <c r="L53" s="10"/>
      <c r="M53" s="19"/>
      <c r="N53" s="84"/>
      <c r="O53" s="15"/>
      <c r="P53" s="16"/>
      <c r="Q53" s="15"/>
      <c r="R53" s="10"/>
      <c r="S53" s="19"/>
      <c r="T53" s="84"/>
      <c r="U53" s="15"/>
      <c r="V53" s="16"/>
      <c r="W53" s="15"/>
    </row>
    <row r="54" spans="1:23" x14ac:dyDescent="0.35">
      <c r="A54" s="19" t="s">
        <v>74</v>
      </c>
      <c r="B54" s="84">
        <v>190003489</v>
      </c>
      <c r="C54" s="15">
        <v>263572.17</v>
      </c>
      <c r="D54" s="16">
        <v>190003488</v>
      </c>
      <c r="E54" s="15">
        <v>-36560.550000000003</v>
      </c>
      <c r="F54" s="10"/>
      <c r="G54" s="19" t="s">
        <v>230</v>
      </c>
      <c r="H54" s="84"/>
      <c r="I54" s="15"/>
      <c r="J54" s="16"/>
      <c r="K54" s="15"/>
      <c r="L54" s="10"/>
      <c r="M54" s="19"/>
      <c r="N54" s="84"/>
      <c r="O54" s="15"/>
      <c r="P54" s="16"/>
      <c r="Q54" s="15"/>
      <c r="R54" s="10"/>
      <c r="S54" s="19"/>
      <c r="T54" s="84"/>
      <c r="U54" s="15"/>
      <c r="V54" s="16"/>
      <c r="W54" s="15"/>
    </row>
    <row r="55" spans="1:23" x14ac:dyDescent="0.35">
      <c r="A55" s="19" t="s">
        <v>98</v>
      </c>
      <c r="B55" s="84"/>
      <c r="C55" s="15"/>
      <c r="D55" s="16"/>
      <c r="E55" s="15"/>
      <c r="F55" s="10"/>
      <c r="G55" s="19" t="s">
        <v>231</v>
      </c>
      <c r="H55" s="84"/>
      <c r="I55" s="15"/>
      <c r="J55" s="16"/>
      <c r="K55" s="15"/>
      <c r="L55" s="10"/>
      <c r="M55" s="19"/>
      <c r="N55" s="84"/>
      <c r="O55" s="15"/>
      <c r="P55" s="16"/>
      <c r="Q55" s="15"/>
      <c r="R55" s="10"/>
      <c r="S55" s="19"/>
      <c r="T55" s="84"/>
      <c r="U55" s="15"/>
      <c r="V55" s="16"/>
      <c r="W55" s="15"/>
    </row>
    <row r="56" spans="1:23" x14ac:dyDescent="0.35">
      <c r="A56" s="19" t="s">
        <v>82</v>
      </c>
      <c r="B56" s="84"/>
      <c r="C56" s="15"/>
      <c r="D56" s="16"/>
      <c r="E56" s="15"/>
      <c r="F56" s="10"/>
      <c r="G56" s="19" t="s">
        <v>232</v>
      </c>
      <c r="H56" s="84"/>
      <c r="I56" s="15"/>
      <c r="J56" s="16"/>
      <c r="K56" s="15"/>
      <c r="L56" s="10"/>
      <c r="M56" s="19"/>
      <c r="N56" s="84"/>
      <c r="O56" s="15"/>
      <c r="P56" s="16"/>
      <c r="Q56" s="15"/>
      <c r="R56" s="10"/>
      <c r="S56" s="19"/>
      <c r="T56" s="84"/>
      <c r="U56" s="15"/>
      <c r="V56" s="16"/>
      <c r="W56" s="15"/>
    </row>
    <row r="57" spans="1:23" x14ac:dyDescent="0.35">
      <c r="A57" s="19" t="s">
        <v>96</v>
      </c>
      <c r="B57" s="84"/>
      <c r="C57" s="15"/>
      <c r="D57" s="16">
        <v>190003501</v>
      </c>
      <c r="E57" s="15">
        <v>-91610</v>
      </c>
      <c r="F57" s="10"/>
      <c r="G57" s="19" t="s">
        <v>229</v>
      </c>
      <c r="H57" s="84"/>
      <c r="I57" s="15"/>
      <c r="J57" s="16"/>
      <c r="K57" s="15"/>
      <c r="L57" s="10"/>
      <c r="M57" s="19"/>
      <c r="N57" s="84"/>
      <c r="O57" s="15"/>
      <c r="P57" s="16"/>
      <c r="Q57" s="15"/>
      <c r="R57" s="10"/>
      <c r="S57" s="19"/>
      <c r="T57" s="84"/>
      <c r="U57" s="15"/>
      <c r="V57" s="16"/>
      <c r="W57" s="15"/>
    </row>
    <row r="58" spans="1:23" x14ac:dyDescent="0.35">
      <c r="A58" s="19" t="s">
        <v>52</v>
      </c>
      <c r="B58" s="84"/>
      <c r="C58" s="15"/>
      <c r="D58" s="16">
        <v>190003503</v>
      </c>
      <c r="E58" s="15">
        <v>-6932.03</v>
      </c>
      <c r="F58" s="10"/>
      <c r="G58" s="19" t="s">
        <v>222</v>
      </c>
      <c r="H58" s="84"/>
      <c r="I58" s="15"/>
      <c r="J58" s="16"/>
      <c r="K58" s="15"/>
      <c r="L58" s="10"/>
      <c r="M58" s="19"/>
      <c r="N58" s="84"/>
      <c r="O58" s="15"/>
      <c r="P58" s="16"/>
      <c r="Q58" s="15"/>
      <c r="R58" s="10"/>
      <c r="S58" s="19"/>
      <c r="T58" s="84"/>
      <c r="U58" s="15"/>
      <c r="V58" s="16"/>
      <c r="W58" s="15"/>
    </row>
    <row r="59" spans="1:23" x14ac:dyDescent="0.35">
      <c r="A59" s="19" t="s">
        <v>296</v>
      </c>
      <c r="B59" s="84"/>
      <c r="C59" s="15"/>
      <c r="D59" s="16">
        <v>190003508</v>
      </c>
      <c r="E59" s="15">
        <v>-15285.62</v>
      </c>
      <c r="F59" s="10"/>
      <c r="G59" s="19" t="s">
        <v>185</v>
      </c>
      <c r="H59" s="84"/>
      <c r="I59" s="15"/>
      <c r="J59" s="16"/>
      <c r="K59" s="15"/>
      <c r="L59" s="10"/>
      <c r="M59" s="19"/>
      <c r="N59" s="84"/>
      <c r="O59" s="15"/>
      <c r="P59" s="16"/>
      <c r="Q59" s="15"/>
      <c r="R59" s="10"/>
      <c r="S59" s="19"/>
      <c r="T59" s="84"/>
      <c r="U59" s="15"/>
      <c r="V59" s="16"/>
      <c r="W59" s="15"/>
    </row>
    <row r="60" spans="1:23" x14ac:dyDescent="0.35">
      <c r="A60" s="19" t="s">
        <v>297</v>
      </c>
      <c r="B60" s="84">
        <v>190003507</v>
      </c>
      <c r="C60" s="15">
        <v>21206</v>
      </c>
      <c r="D60" s="16"/>
      <c r="E60" s="15"/>
      <c r="F60" s="10"/>
      <c r="G60" s="19" t="s">
        <v>227</v>
      </c>
      <c r="H60" s="84"/>
      <c r="I60" s="15"/>
      <c r="J60" s="16"/>
      <c r="K60" s="15"/>
      <c r="L60" s="10"/>
      <c r="M60" s="19"/>
      <c r="N60" s="84"/>
      <c r="O60" s="15"/>
      <c r="P60" s="16"/>
      <c r="Q60" s="15"/>
      <c r="R60" s="10"/>
      <c r="S60" s="19"/>
      <c r="T60" s="84"/>
      <c r="U60" s="15"/>
      <c r="V60" s="16"/>
      <c r="W60" s="15"/>
    </row>
    <row r="61" spans="1:23" x14ac:dyDescent="0.35">
      <c r="A61" s="19" t="s">
        <v>107</v>
      </c>
      <c r="B61" s="84"/>
      <c r="C61" s="15"/>
      <c r="D61" s="16">
        <v>190003510</v>
      </c>
      <c r="E61" s="15">
        <v>-26727.66</v>
      </c>
      <c r="F61" s="10"/>
      <c r="G61" s="19" t="s">
        <v>214</v>
      </c>
      <c r="H61" s="84"/>
      <c r="I61" s="15"/>
      <c r="J61" s="16"/>
      <c r="K61" s="15"/>
      <c r="L61" s="10"/>
      <c r="M61" s="19"/>
      <c r="N61" s="84"/>
      <c r="O61" s="15"/>
      <c r="P61" s="16"/>
      <c r="Q61" s="15"/>
      <c r="R61" s="10"/>
      <c r="S61" s="19"/>
      <c r="T61" s="84"/>
      <c r="U61" s="15"/>
      <c r="V61" s="16"/>
      <c r="W61" s="15"/>
    </row>
    <row r="62" spans="1:23" x14ac:dyDescent="0.35">
      <c r="A62" s="19" t="s">
        <v>298</v>
      </c>
      <c r="B62" s="84">
        <v>190003525</v>
      </c>
      <c r="C62" s="15">
        <v>194104.06</v>
      </c>
      <c r="D62" s="16">
        <v>190003524</v>
      </c>
      <c r="E62" s="15">
        <v>-166121.9</v>
      </c>
      <c r="F62" s="10"/>
      <c r="G62" s="19" t="s">
        <v>206</v>
      </c>
      <c r="H62" s="84"/>
      <c r="I62" s="15"/>
      <c r="J62" s="16"/>
      <c r="K62" s="15"/>
      <c r="L62" s="10"/>
      <c r="M62" s="19"/>
      <c r="N62" s="84"/>
      <c r="O62" s="15"/>
      <c r="P62" s="16"/>
      <c r="Q62" s="15"/>
      <c r="R62" s="10"/>
      <c r="S62" s="19"/>
      <c r="T62" s="84"/>
      <c r="U62" s="15"/>
      <c r="V62" s="16"/>
      <c r="W62" s="15"/>
    </row>
    <row r="63" spans="1:23" x14ac:dyDescent="0.35">
      <c r="A63" s="19" t="s">
        <v>101</v>
      </c>
      <c r="B63" s="84"/>
      <c r="C63" s="15"/>
      <c r="D63" s="16"/>
      <c r="E63" s="15"/>
      <c r="F63" s="10"/>
      <c r="G63" s="19" t="s">
        <v>176</v>
      </c>
      <c r="H63" s="84"/>
      <c r="I63" s="15"/>
      <c r="J63" s="16"/>
      <c r="K63" s="15"/>
      <c r="L63" s="10"/>
      <c r="M63" s="19"/>
      <c r="N63" s="84"/>
      <c r="O63" s="15"/>
      <c r="P63" s="16"/>
      <c r="Q63" s="15"/>
      <c r="R63" s="10"/>
      <c r="S63" s="19"/>
      <c r="T63" s="84"/>
      <c r="U63" s="15"/>
      <c r="V63" s="16"/>
      <c r="W63" s="15"/>
    </row>
    <row r="64" spans="1:23" x14ac:dyDescent="0.35">
      <c r="A64" s="19" t="s">
        <v>84</v>
      </c>
      <c r="B64" s="84"/>
      <c r="C64" s="15"/>
      <c r="D64" s="16">
        <v>190003529</v>
      </c>
      <c r="E64" s="15">
        <v>-115293.47</v>
      </c>
      <c r="F64" s="10"/>
      <c r="G64" s="19" t="s">
        <v>224</v>
      </c>
      <c r="H64" s="84"/>
      <c r="I64" s="15"/>
      <c r="J64" s="16"/>
      <c r="K64" s="15"/>
      <c r="L64" s="10"/>
      <c r="M64" s="19"/>
      <c r="N64" s="84"/>
      <c r="O64" s="15"/>
      <c r="P64" s="16"/>
      <c r="Q64" s="15"/>
      <c r="R64" s="10"/>
      <c r="S64" s="19"/>
      <c r="T64" s="84"/>
      <c r="U64" s="15"/>
      <c r="V64" s="16"/>
      <c r="W64" s="15"/>
    </row>
    <row r="65" spans="1:23" x14ac:dyDescent="0.35">
      <c r="A65" s="19" t="s">
        <v>64</v>
      </c>
      <c r="B65" s="84"/>
      <c r="C65" s="15"/>
      <c r="D65" s="16">
        <v>190003531</v>
      </c>
      <c r="E65" s="15">
        <v>-80999.990000000005</v>
      </c>
      <c r="F65" s="10"/>
      <c r="G65" s="19" t="s">
        <v>178</v>
      </c>
      <c r="H65" s="84"/>
      <c r="I65" s="15"/>
      <c r="J65" s="16"/>
      <c r="K65" s="15"/>
      <c r="L65" s="10"/>
      <c r="M65" s="19"/>
      <c r="N65" s="84"/>
      <c r="O65" s="15"/>
      <c r="P65" s="16"/>
      <c r="Q65" s="15"/>
      <c r="R65" s="10"/>
      <c r="S65" s="19"/>
      <c r="T65" s="84"/>
      <c r="U65" s="15"/>
      <c r="V65" s="16"/>
      <c r="W65" s="15"/>
    </row>
    <row r="66" spans="1:23" x14ac:dyDescent="0.35">
      <c r="A66" s="19" t="s">
        <v>79</v>
      </c>
      <c r="B66" s="84"/>
      <c r="C66" s="15"/>
      <c r="D66" s="16">
        <v>190003530</v>
      </c>
      <c r="E66" s="15">
        <v>-19034.509999999998</v>
      </c>
      <c r="F66" s="10"/>
      <c r="G66" s="19" t="s">
        <v>94</v>
      </c>
      <c r="H66" s="84"/>
      <c r="I66" s="15"/>
      <c r="J66" s="16"/>
      <c r="K66" s="15"/>
      <c r="L66" s="10"/>
      <c r="M66" s="19"/>
      <c r="N66" s="84"/>
      <c r="O66" s="15"/>
      <c r="P66" s="16"/>
      <c r="Q66" s="15"/>
      <c r="R66" s="10"/>
      <c r="S66" s="19"/>
      <c r="T66" s="84"/>
      <c r="U66" s="15"/>
      <c r="V66" s="16"/>
      <c r="W66" s="15"/>
    </row>
    <row r="67" spans="1:23" x14ac:dyDescent="0.35">
      <c r="A67" s="19" t="s">
        <v>66</v>
      </c>
      <c r="B67" s="84"/>
      <c r="C67" s="15"/>
      <c r="D67" s="16">
        <v>190003533</v>
      </c>
      <c r="E67" s="15">
        <v>-36397.910000000003</v>
      </c>
      <c r="F67" s="10"/>
      <c r="G67" s="19" t="s">
        <v>225</v>
      </c>
      <c r="H67" s="84"/>
      <c r="I67" s="15"/>
      <c r="J67" s="16"/>
      <c r="K67" s="15"/>
      <c r="L67" s="10"/>
      <c r="M67" s="19"/>
      <c r="N67" s="84"/>
      <c r="O67" s="15"/>
      <c r="P67" s="16"/>
      <c r="Q67" s="15"/>
      <c r="R67" s="10"/>
      <c r="S67" s="19"/>
      <c r="T67" s="84"/>
      <c r="U67" s="15"/>
      <c r="V67" s="16"/>
      <c r="W67" s="15"/>
    </row>
    <row r="68" spans="1:23" x14ac:dyDescent="0.35">
      <c r="A68" s="19" t="s">
        <v>69</v>
      </c>
      <c r="B68" s="84">
        <v>190003534</v>
      </c>
      <c r="C68" s="15">
        <v>180427.6</v>
      </c>
      <c r="D68" s="16">
        <v>190003535</v>
      </c>
      <c r="E68" s="15">
        <v>-91945.67</v>
      </c>
      <c r="F68" s="10"/>
      <c r="G68" s="19" t="s">
        <v>216</v>
      </c>
      <c r="H68" s="84"/>
      <c r="I68" s="15"/>
      <c r="J68" s="16"/>
      <c r="K68" s="15"/>
      <c r="L68" s="10"/>
      <c r="M68" s="19"/>
      <c r="N68" s="84"/>
      <c r="O68" s="15"/>
      <c r="P68" s="16"/>
      <c r="Q68" s="15"/>
      <c r="R68" s="10"/>
      <c r="S68" s="19"/>
      <c r="T68" s="84"/>
      <c r="U68" s="15"/>
      <c r="V68" s="16"/>
      <c r="W68" s="15"/>
    </row>
    <row r="69" spans="1:23" x14ac:dyDescent="0.35">
      <c r="A69" s="19" t="s">
        <v>71</v>
      </c>
      <c r="B69" s="84">
        <v>190003543</v>
      </c>
      <c r="C69" s="15">
        <v>172732.91</v>
      </c>
      <c r="D69" s="16"/>
      <c r="E69" s="15"/>
      <c r="F69" s="10"/>
      <c r="G69" s="19" t="s">
        <v>219</v>
      </c>
      <c r="H69" s="84"/>
      <c r="I69" s="15"/>
      <c r="J69" s="16"/>
      <c r="K69" s="15"/>
      <c r="L69" s="10"/>
      <c r="M69" s="19"/>
      <c r="N69" s="84"/>
      <c r="O69" s="15"/>
      <c r="P69" s="16"/>
      <c r="Q69" s="15"/>
      <c r="R69" s="10"/>
      <c r="S69" s="19"/>
      <c r="T69" s="84"/>
      <c r="U69" s="15"/>
      <c r="V69" s="16"/>
      <c r="W69" s="15"/>
    </row>
    <row r="70" spans="1:23" x14ac:dyDescent="0.35">
      <c r="A70" s="19" t="s">
        <v>86</v>
      </c>
      <c r="B70" s="84"/>
      <c r="C70" s="15"/>
      <c r="D70" s="16"/>
      <c r="E70" s="15"/>
      <c r="F70" s="10"/>
      <c r="G70" s="19" t="s">
        <v>204</v>
      </c>
      <c r="H70" s="84"/>
      <c r="I70" s="15"/>
      <c r="J70" s="16"/>
      <c r="K70" s="15"/>
      <c r="L70" s="10"/>
      <c r="M70" s="19"/>
      <c r="N70" s="84"/>
      <c r="O70" s="15"/>
      <c r="P70" s="16"/>
      <c r="Q70" s="15"/>
      <c r="R70" s="10"/>
      <c r="S70" s="19"/>
      <c r="T70" s="84"/>
      <c r="U70" s="15"/>
      <c r="V70" s="16"/>
      <c r="W70" s="15"/>
    </row>
    <row r="71" spans="1:23" x14ac:dyDescent="0.35">
      <c r="A71" s="19" t="s">
        <v>92</v>
      </c>
      <c r="B71" s="84"/>
      <c r="C71" s="15"/>
      <c r="D71" s="16"/>
      <c r="E71" s="15"/>
      <c r="F71" s="10"/>
      <c r="G71" s="19" t="s">
        <v>207</v>
      </c>
      <c r="H71" s="84"/>
      <c r="I71" s="15"/>
      <c r="J71" s="16"/>
      <c r="K71" s="15"/>
      <c r="L71" s="10"/>
      <c r="M71" s="19"/>
      <c r="N71" s="84"/>
      <c r="O71" s="15"/>
      <c r="P71" s="16"/>
      <c r="Q71" s="15"/>
      <c r="R71" s="10"/>
      <c r="S71" s="19"/>
      <c r="T71" s="84"/>
      <c r="U71" s="15"/>
      <c r="V71" s="16"/>
      <c r="W71" s="15"/>
    </row>
    <row r="72" spans="1:23" x14ac:dyDescent="0.35">
      <c r="A72" s="19" t="s">
        <v>95</v>
      </c>
      <c r="B72" s="84"/>
      <c r="C72" s="15"/>
      <c r="D72" s="16"/>
      <c r="E72" s="15"/>
      <c r="F72" s="10"/>
      <c r="G72" s="19" t="s">
        <v>226</v>
      </c>
      <c r="H72" s="84"/>
      <c r="I72" s="15"/>
      <c r="J72" s="16"/>
      <c r="K72" s="15"/>
      <c r="L72" s="10"/>
      <c r="M72" s="19"/>
      <c r="N72" s="84"/>
      <c r="O72" s="15"/>
      <c r="P72" s="16"/>
      <c r="Q72" s="15"/>
      <c r="R72" s="10"/>
      <c r="S72" s="19"/>
      <c r="T72" s="84"/>
      <c r="U72" s="15"/>
      <c r="V72" s="16"/>
      <c r="W72" s="15"/>
    </row>
    <row r="73" spans="1:23" x14ac:dyDescent="0.35">
      <c r="A73" s="19" t="s">
        <v>104</v>
      </c>
      <c r="B73" s="84">
        <v>190003558</v>
      </c>
      <c r="C73" s="15">
        <v>51186.38</v>
      </c>
      <c r="D73" s="16">
        <v>190003557</v>
      </c>
      <c r="E73" s="15">
        <v>-35703.599999999999</v>
      </c>
      <c r="F73" s="10"/>
      <c r="G73" s="19" t="s">
        <v>223</v>
      </c>
      <c r="H73" s="84"/>
      <c r="I73" s="15"/>
      <c r="J73" s="16"/>
      <c r="K73" s="15"/>
      <c r="L73" s="10"/>
      <c r="M73" s="19"/>
      <c r="N73" s="84"/>
      <c r="O73" s="15"/>
      <c r="P73" s="16"/>
      <c r="Q73" s="15"/>
      <c r="R73" s="10"/>
      <c r="S73" s="19"/>
      <c r="T73" s="84"/>
      <c r="U73" s="15"/>
      <c r="V73" s="16"/>
      <c r="W73" s="15"/>
    </row>
    <row r="74" spans="1:23" x14ac:dyDescent="0.35">
      <c r="A74" s="19" t="s">
        <v>93</v>
      </c>
      <c r="B74" s="84"/>
      <c r="C74" s="15"/>
      <c r="D74" s="16"/>
      <c r="E74" s="15"/>
      <c r="F74" s="10"/>
      <c r="G74" s="19"/>
      <c r="H74" s="84"/>
      <c r="I74" s="15"/>
      <c r="J74" s="16"/>
      <c r="K74" s="15"/>
      <c r="L74" s="10"/>
      <c r="M74" s="19"/>
      <c r="N74" s="84"/>
      <c r="O74" s="15"/>
      <c r="P74" s="16"/>
      <c r="Q74" s="15"/>
      <c r="R74" s="10"/>
      <c r="S74" s="19"/>
      <c r="T74" s="84"/>
      <c r="U74" s="15"/>
      <c r="V74" s="16"/>
      <c r="W74" s="15"/>
    </row>
    <row r="75" spans="1:23" x14ac:dyDescent="0.35">
      <c r="A75" s="19" t="s">
        <v>67</v>
      </c>
      <c r="B75" s="84"/>
      <c r="C75" s="15"/>
      <c r="D75" s="16"/>
      <c r="E75" s="15"/>
      <c r="F75" s="10"/>
      <c r="G75" s="19"/>
      <c r="H75" s="84"/>
      <c r="I75" s="15"/>
      <c r="J75" s="16"/>
      <c r="K75" s="15"/>
      <c r="L75" s="10"/>
      <c r="M75" s="19"/>
      <c r="N75" s="84"/>
      <c r="O75" s="15"/>
      <c r="P75" s="16"/>
      <c r="Q75" s="15"/>
      <c r="R75" s="10"/>
      <c r="S75" s="19"/>
      <c r="T75" s="84"/>
      <c r="U75" s="15"/>
      <c r="V75" s="16"/>
      <c r="W75" s="15"/>
    </row>
    <row r="76" spans="1:23" x14ac:dyDescent="0.35">
      <c r="A76" s="19" t="s">
        <v>70</v>
      </c>
      <c r="B76" s="84"/>
      <c r="C76" s="15"/>
      <c r="D76" s="16"/>
      <c r="E76" s="15"/>
      <c r="F76" s="10"/>
      <c r="G76" s="19"/>
      <c r="H76" s="84"/>
      <c r="I76" s="15"/>
      <c r="J76" s="16"/>
      <c r="K76" s="15"/>
      <c r="L76" s="10"/>
      <c r="M76" s="19"/>
      <c r="N76" s="84"/>
      <c r="O76" s="15"/>
      <c r="P76" s="16"/>
      <c r="Q76" s="15"/>
      <c r="R76" s="10"/>
      <c r="S76" s="19"/>
      <c r="T76" s="84"/>
      <c r="U76" s="15"/>
      <c r="V76" s="16"/>
      <c r="W76" s="15"/>
    </row>
    <row r="77" spans="1:23" x14ac:dyDescent="0.35">
      <c r="A77" s="19" t="s">
        <v>80</v>
      </c>
      <c r="B77" s="84"/>
      <c r="C77" s="15"/>
      <c r="D77" s="16"/>
      <c r="E77" s="15"/>
      <c r="F77" s="10"/>
      <c r="G77" s="19"/>
      <c r="H77" s="84"/>
      <c r="I77" s="15"/>
      <c r="J77" s="16"/>
      <c r="K77" s="15"/>
      <c r="L77" s="10"/>
      <c r="M77" s="19"/>
      <c r="N77" s="84"/>
      <c r="O77" s="15"/>
      <c r="P77" s="16"/>
      <c r="Q77" s="15"/>
      <c r="R77" s="10"/>
      <c r="S77" s="19"/>
      <c r="T77" s="84"/>
      <c r="U77" s="15"/>
      <c r="V77" s="16"/>
      <c r="W77" s="15"/>
    </row>
    <row r="78" spans="1:23" x14ac:dyDescent="0.35">
      <c r="A78" s="19" t="s">
        <v>99</v>
      </c>
      <c r="B78" s="84"/>
      <c r="C78" s="15"/>
      <c r="D78" s="16"/>
      <c r="E78" s="15"/>
      <c r="F78" s="10"/>
      <c r="G78" s="19"/>
      <c r="H78" s="84"/>
      <c r="I78" s="15"/>
      <c r="J78" s="16"/>
      <c r="K78" s="15"/>
      <c r="L78" s="10"/>
      <c r="M78" s="19"/>
      <c r="N78" s="84"/>
      <c r="O78" s="15"/>
      <c r="P78" s="16"/>
      <c r="Q78" s="15"/>
      <c r="R78" s="10"/>
      <c r="S78" s="19"/>
      <c r="T78" s="84"/>
      <c r="U78" s="15"/>
      <c r="V78" s="16"/>
      <c r="W78" s="15"/>
    </row>
    <row r="79" spans="1:23" x14ac:dyDescent="0.35">
      <c r="A79" s="19" t="s">
        <v>61</v>
      </c>
      <c r="B79" s="84">
        <v>190003569</v>
      </c>
      <c r="C79" s="15">
        <v>145884</v>
      </c>
      <c r="D79" s="16">
        <v>190003570</v>
      </c>
      <c r="E79" s="15">
        <v>-85679.79</v>
      </c>
      <c r="F79" s="10"/>
      <c r="G79" s="19"/>
      <c r="H79" s="84"/>
      <c r="I79" s="15"/>
      <c r="J79" s="16"/>
      <c r="K79" s="15"/>
      <c r="L79" s="10"/>
      <c r="M79" s="19"/>
      <c r="N79" s="84"/>
      <c r="O79" s="15"/>
      <c r="P79" s="16"/>
      <c r="Q79" s="15"/>
      <c r="R79" s="10"/>
      <c r="S79" s="19"/>
      <c r="T79" s="84"/>
      <c r="U79" s="15"/>
      <c r="V79" s="16"/>
      <c r="W79" s="15"/>
    </row>
    <row r="80" spans="1:23" x14ac:dyDescent="0.35">
      <c r="A80" s="19" t="s">
        <v>63</v>
      </c>
      <c r="B80" s="84">
        <v>190003573</v>
      </c>
      <c r="C80" s="15">
        <v>15765.87</v>
      </c>
      <c r="D80" s="16">
        <v>190003572</v>
      </c>
      <c r="E80" s="15">
        <v>-196159.24</v>
      </c>
      <c r="F80" s="10"/>
      <c r="G80" s="19"/>
      <c r="H80" s="84"/>
      <c r="I80" s="15"/>
      <c r="J80" s="16"/>
      <c r="K80" s="15"/>
      <c r="L80" s="10"/>
      <c r="M80" s="19"/>
      <c r="N80" s="84"/>
      <c r="O80" s="15"/>
      <c r="P80" s="16"/>
      <c r="Q80" s="15"/>
      <c r="R80" s="10"/>
      <c r="S80" s="19"/>
      <c r="T80" s="84"/>
      <c r="U80" s="15"/>
      <c r="V80" s="16"/>
      <c r="W80" s="15"/>
    </row>
    <row r="81" spans="1:23" x14ac:dyDescent="0.35">
      <c r="A81" s="19" t="s">
        <v>109</v>
      </c>
      <c r="B81" s="84"/>
      <c r="C81" s="15"/>
      <c r="D81" s="16">
        <v>190003650</v>
      </c>
      <c r="E81" s="15">
        <v>-9827.01</v>
      </c>
      <c r="F81" s="10"/>
      <c r="G81" s="19"/>
      <c r="H81" s="84"/>
      <c r="I81" s="15"/>
      <c r="J81" s="16"/>
      <c r="K81" s="15"/>
      <c r="L81" s="10"/>
      <c r="M81" s="19"/>
      <c r="N81" s="84"/>
      <c r="O81" s="15"/>
      <c r="P81" s="16"/>
      <c r="Q81" s="15"/>
      <c r="R81" s="10"/>
      <c r="S81" s="19"/>
      <c r="T81" s="84"/>
      <c r="U81" s="15"/>
      <c r="V81" s="16"/>
      <c r="W81" s="15"/>
    </row>
    <row r="82" spans="1:23" x14ac:dyDescent="0.35">
      <c r="A82" s="19" t="s">
        <v>112</v>
      </c>
      <c r="B82" s="84"/>
      <c r="C82" s="15"/>
      <c r="D82" s="16">
        <v>190003651</v>
      </c>
      <c r="E82" s="15">
        <v>-58110.27</v>
      </c>
      <c r="F82" s="10"/>
      <c r="G82" s="19"/>
      <c r="H82" s="84"/>
      <c r="I82" s="15"/>
      <c r="J82" s="16"/>
      <c r="K82" s="15"/>
      <c r="L82" s="10"/>
      <c r="M82" s="19"/>
      <c r="N82" s="84"/>
      <c r="O82" s="15"/>
      <c r="P82" s="16"/>
      <c r="Q82" s="15"/>
      <c r="R82" s="10"/>
      <c r="S82" s="19"/>
      <c r="T82" s="84"/>
      <c r="U82" s="15"/>
      <c r="V82" s="16"/>
      <c r="W82" s="15"/>
    </row>
    <row r="83" spans="1:23" x14ac:dyDescent="0.35">
      <c r="A83" s="19" t="s">
        <v>108</v>
      </c>
      <c r="B83" s="84">
        <v>190003652</v>
      </c>
      <c r="C83" s="15">
        <v>17133.169999999998</v>
      </c>
      <c r="D83" s="16">
        <v>190003653</v>
      </c>
      <c r="E83" s="15">
        <v>-63513.2</v>
      </c>
      <c r="F83" s="10"/>
      <c r="G83" s="19"/>
      <c r="H83" s="84"/>
      <c r="I83" s="15"/>
      <c r="J83" s="16"/>
      <c r="K83" s="15"/>
      <c r="L83" s="10"/>
      <c r="M83" s="19"/>
      <c r="N83" s="84"/>
      <c r="O83" s="15"/>
      <c r="P83" s="16"/>
      <c r="Q83" s="15"/>
      <c r="R83" s="10"/>
      <c r="S83" s="19"/>
      <c r="T83" s="84"/>
      <c r="U83" s="15"/>
      <c r="V83" s="16"/>
      <c r="W83" s="15"/>
    </row>
    <row r="84" spans="1:23" x14ac:dyDescent="0.35">
      <c r="A84" s="19" t="s">
        <v>106</v>
      </c>
      <c r="B84" s="84">
        <v>190003664</v>
      </c>
      <c r="C84" s="15">
        <v>58325.37</v>
      </c>
      <c r="D84" s="16"/>
      <c r="E84" s="15"/>
      <c r="F84" s="10"/>
      <c r="G84" s="19"/>
      <c r="H84" s="84"/>
      <c r="I84" s="15"/>
      <c r="J84" s="16"/>
      <c r="K84" s="15"/>
      <c r="L84" s="10"/>
      <c r="M84" s="19"/>
      <c r="N84" s="84"/>
      <c r="O84" s="15"/>
      <c r="P84" s="16"/>
      <c r="Q84" s="15"/>
      <c r="R84" s="10"/>
      <c r="S84" s="19"/>
      <c r="T84" s="84"/>
      <c r="U84" s="15"/>
      <c r="V84" s="16"/>
      <c r="W84" s="15"/>
    </row>
    <row r="85" spans="1:23" x14ac:dyDescent="0.35">
      <c r="A85" s="19" t="s">
        <v>105</v>
      </c>
      <c r="B85" s="84">
        <v>190003662</v>
      </c>
      <c r="C85" s="15">
        <v>39493.03</v>
      </c>
      <c r="D85" s="16">
        <v>190003663</v>
      </c>
      <c r="E85" s="15">
        <v>-28906.5</v>
      </c>
      <c r="F85" s="10"/>
      <c r="G85" s="19"/>
      <c r="H85" s="84"/>
      <c r="I85" s="15"/>
      <c r="J85" s="16"/>
      <c r="K85" s="15"/>
      <c r="L85" s="10"/>
      <c r="M85" s="19"/>
      <c r="N85" s="84"/>
      <c r="O85" s="15"/>
      <c r="P85" s="16"/>
      <c r="Q85" s="15"/>
      <c r="R85" s="10"/>
      <c r="S85" s="19"/>
      <c r="T85" s="84"/>
      <c r="U85" s="15"/>
      <c r="V85" s="16"/>
      <c r="W85" s="15"/>
    </row>
    <row r="86" spans="1:23" x14ac:dyDescent="0.35">
      <c r="A86" s="19" t="s">
        <v>102</v>
      </c>
      <c r="B86" s="84">
        <v>190003665</v>
      </c>
      <c r="C86" s="15">
        <v>7029</v>
      </c>
      <c r="D86" s="16"/>
      <c r="E86" s="15"/>
      <c r="F86" s="10"/>
      <c r="G86" s="19"/>
      <c r="H86" s="84"/>
      <c r="I86" s="15"/>
      <c r="J86" s="16"/>
      <c r="K86" s="15"/>
      <c r="L86" s="10"/>
      <c r="M86" s="19"/>
      <c r="N86" s="84"/>
      <c r="O86" s="15"/>
      <c r="P86" s="16"/>
      <c r="Q86" s="15"/>
      <c r="R86" s="10"/>
      <c r="S86" s="19"/>
      <c r="T86" s="84"/>
      <c r="U86" s="15"/>
      <c r="V86" s="16"/>
      <c r="W86" s="15"/>
    </row>
    <row r="87" spans="1:23" x14ac:dyDescent="0.35">
      <c r="A87" s="19" t="s">
        <v>91</v>
      </c>
      <c r="B87" s="84"/>
      <c r="C87" s="15"/>
      <c r="D87" s="16"/>
      <c r="E87" s="15"/>
      <c r="F87" s="10"/>
      <c r="G87" s="19"/>
      <c r="H87" s="84"/>
      <c r="I87" s="15"/>
      <c r="J87" s="16"/>
      <c r="K87" s="15"/>
      <c r="L87" s="10"/>
      <c r="M87" s="19"/>
      <c r="N87" s="84"/>
      <c r="O87" s="15"/>
      <c r="P87" s="16"/>
      <c r="Q87" s="15"/>
      <c r="R87" s="10"/>
      <c r="S87" s="19"/>
      <c r="T87" s="84"/>
      <c r="U87" s="15"/>
      <c r="V87" s="16"/>
      <c r="W87" s="15"/>
    </row>
    <row r="88" spans="1:23" x14ac:dyDescent="0.35">
      <c r="A88" s="19" t="s">
        <v>105</v>
      </c>
      <c r="B88" s="84">
        <v>190003666</v>
      </c>
      <c r="C88" s="15">
        <v>12990</v>
      </c>
      <c r="D88" s="16"/>
      <c r="E88" s="15"/>
      <c r="F88" s="10"/>
      <c r="G88" s="19"/>
      <c r="H88" s="84"/>
      <c r="I88" s="15"/>
      <c r="J88" s="16"/>
      <c r="K88" s="15"/>
      <c r="L88" s="10"/>
      <c r="M88" s="19"/>
      <c r="N88" s="84"/>
      <c r="O88" s="15"/>
      <c r="P88" s="16"/>
      <c r="Q88" s="15"/>
      <c r="R88" s="10"/>
      <c r="S88" s="19"/>
      <c r="T88" s="84"/>
      <c r="U88" s="15"/>
      <c r="V88" s="16"/>
      <c r="W88" s="15"/>
    </row>
    <row r="89" spans="1:23" x14ac:dyDescent="0.35">
      <c r="A89" s="19" t="s">
        <v>87</v>
      </c>
      <c r="B89" s="84"/>
      <c r="C89" s="15"/>
      <c r="D89" s="16">
        <v>190003670</v>
      </c>
      <c r="E89" s="15">
        <v>-76750</v>
      </c>
      <c r="F89" s="10"/>
      <c r="G89" s="19"/>
      <c r="H89" s="84"/>
      <c r="I89" s="15"/>
      <c r="J89" s="16"/>
      <c r="K89" s="15"/>
      <c r="L89" s="10"/>
      <c r="M89" s="19"/>
      <c r="N89" s="84"/>
      <c r="O89" s="15"/>
      <c r="P89" s="16"/>
      <c r="Q89" s="15"/>
      <c r="R89" s="10"/>
      <c r="S89" s="19"/>
      <c r="T89" s="84"/>
      <c r="U89" s="15"/>
      <c r="V89" s="16"/>
      <c r="W89" s="15"/>
    </row>
    <row r="90" spans="1:23" x14ac:dyDescent="0.35">
      <c r="A90" s="19" t="s">
        <v>85</v>
      </c>
      <c r="B90" s="84"/>
      <c r="C90" s="15"/>
      <c r="D90" s="16">
        <v>190003669</v>
      </c>
      <c r="E90" s="15">
        <v>-35999.699999999997</v>
      </c>
      <c r="F90" s="10"/>
      <c r="G90" s="19"/>
      <c r="H90" s="84"/>
      <c r="I90" s="15"/>
      <c r="J90" s="16"/>
      <c r="K90" s="15"/>
      <c r="L90" s="10"/>
      <c r="M90" s="19"/>
      <c r="N90" s="84"/>
      <c r="O90" s="15"/>
      <c r="P90" s="16"/>
      <c r="Q90" s="15"/>
      <c r="R90" s="10"/>
      <c r="S90" s="19"/>
      <c r="T90" s="84"/>
      <c r="U90" s="15"/>
      <c r="V90" s="16"/>
      <c r="W90" s="15"/>
    </row>
    <row r="91" spans="1:23" x14ac:dyDescent="0.35">
      <c r="A91" s="19" t="s">
        <v>78</v>
      </c>
      <c r="B91" s="84">
        <v>190003667</v>
      </c>
      <c r="C91" s="15">
        <v>18962.27</v>
      </c>
      <c r="D91" s="16">
        <v>190003668</v>
      </c>
      <c r="E91" s="15">
        <v>-16549.47</v>
      </c>
      <c r="F91" s="10"/>
      <c r="G91" s="19"/>
      <c r="H91" s="84"/>
      <c r="I91" s="15"/>
      <c r="J91" s="16"/>
      <c r="K91" s="15"/>
      <c r="L91" s="10"/>
      <c r="M91" s="19"/>
      <c r="N91" s="84"/>
      <c r="O91" s="15"/>
      <c r="P91" s="16"/>
      <c r="Q91" s="15"/>
      <c r="R91" s="10"/>
      <c r="S91" s="19"/>
      <c r="T91" s="84"/>
      <c r="U91" s="15"/>
      <c r="V91" s="16"/>
      <c r="W91" s="15"/>
    </row>
    <row r="92" spans="1:23" x14ac:dyDescent="0.35">
      <c r="A92" s="19" t="s">
        <v>89</v>
      </c>
      <c r="B92" s="85">
        <v>190003679</v>
      </c>
      <c r="C92" s="18">
        <v>362009.75</v>
      </c>
      <c r="D92" s="17">
        <v>190003680</v>
      </c>
      <c r="E92" s="18">
        <v>-143175.29999999999</v>
      </c>
      <c r="F92" s="10"/>
      <c r="G92" s="19"/>
      <c r="H92" s="85"/>
      <c r="I92" s="18"/>
      <c r="J92" s="17"/>
      <c r="K92" s="18"/>
      <c r="L92" s="10"/>
      <c r="M92" s="19"/>
      <c r="N92" s="85"/>
      <c r="O92" s="18"/>
      <c r="P92" s="17"/>
      <c r="Q92" s="18"/>
      <c r="R92" s="10"/>
      <c r="S92" s="19"/>
      <c r="T92" s="85"/>
      <c r="U92" s="18"/>
      <c r="V92" s="17"/>
      <c r="W92" s="18"/>
    </row>
    <row r="93" spans="1:23" x14ac:dyDescent="0.35">
      <c r="A93" s="19" t="s">
        <v>83</v>
      </c>
      <c r="B93" s="85">
        <v>190003677</v>
      </c>
      <c r="C93" s="18">
        <v>154767.43</v>
      </c>
      <c r="D93" s="17">
        <v>190003678</v>
      </c>
      <c r="E93" s="18">
        <v>-248160.91</v>
      </c>
      <c r="F93" s="10"/>
      <c r="G93" s="19"/>
      <c r="H93" s="85"/>
      <c r="I93" s="18"/>
      <c r="J93" s="17"/>
      <c r="K93" s="18"/>
      <c r="L93" s="10"/>
      <c r="M93" s="19"/>
      <c r="N93" s="85"/>
      <c r="O93" s="18"/>
      <c r="P93" s="17"/>
      <c r="Q93" s="18"/>
      <c r="R93" s="10"/>
      <c r="S93" s="19"/>
      <c r="T93" s="85"/>
      <c r="U93" s="18"/>
      <c r="V93" s="17"/>
      <c r="W93" s="18"/>
    </row>
    <row r="94" spans="1:23" x14ac:dyDescent="0.35">
      <c r="A94" s="19" t="s">
        <v>81</v>
      </c>
      <c r="B94" s="85">
        <v>190003686</v>
      </c>
      <c r="C94" s="18">
        <v>137758.13</v>
      </c>
      <c r="D94" s="17">
        <v>190003687</v>
      </c>
      <c r="E94" s="18">
        <v>-31069.21</v>
      </c>
      <c r="F94" s="10"/>
      <c r="G94" s="19"/>
      <c r="H94" s="85"/>
      <c r="I94" s="18"/>
      <c r="J94" s="17"/>
      <c r="K94" s="18"/>
      <c r="L94" s="10"/>
      <c r="M94" s="19"/>
      <c r="N94" s="85"/>
      <c r="O94" s="18"/>
      <c r="P94" s="17"/>
      <c r="Q94" s="18"/>
      <c r="R94" s="10"/>
      <c r="S94" s="19"/>
      <c r="T94" s="85"/>
      <c r="U94" s="18"/>
      <c r="V94" s="17"/>
      <c r="W94" s="18"/>
    </row>
    <row r="95" spans="1:23" x14ac:dyDescent="0.35">
      <c r="A95" s="19" t="s">
        <v>72</v>
      </c>
      <c r="B95" s="85"/>
      <c r="C95" s="18"/>
      <c r="D95" s="17">
        <v>190003701</v>
      </c>
      <c r="E95" s="18">
        <v>-72186.81</v>
      </c>
      <c r="F95" s="10"/>
      <c r="G95" s="19"/>
      <c r="H95" s="85"/>
      <c r="I95" s="18"/>
      <c r="J95" s="17"/>
      <c r="K95" s="18"/>
      <c r="L95" s="10"/>
      <c r="M95" s="19"/>
      <c r="N95" s="85"/>
      <c r="O95" s="18"/>
      <c r="P95" s="17"/>
      <c r="Q95" s="18"/>
      <c r="R95" s="10"/>
      <c r="S95" s="19"/>
      <c r="T95" s="85"/>
      <c r="U95" s="18"/>
      <c r="V95" s="17"/>
      <c r="W95" s="18"/>
    </row>
    <row r="96" spans="1:23" x14ac:dyDescent="0.35">
      <c r="A96" s="19" t="s">
        <v>73</v>
      </c>
      <c r="B96" s="85"/>
      <c r="C96" s="18"/>
      <c r="D96" s="17">
        <v>190003702</v>
      </c>
      <c r="E96" s="18">
        <v>-55025.06</v>
      </c>
      <c r="F96" s="10"/>
      <c r="G96" s="19"/>
      <c r="H96" s="85"/>
      <c r="I96" s="18"/>
      <c r="J96" s="17"/>
      <c r="K96" s="18"/>
      <c r="L96" s="10"/>
      <c r="M96" s="19"/>
      <c r="N96" s="85"/>
      <c r="O96" s="18"/>
      <c r="P96" s="17"/>
      <c r="Q96" s="18"/>
      <c r="R96" s="10"/>
      <c r="S96" s="19"/>
      <c r="T96" s="85"/>
      <c r="U96" s="18"/>
      <c r="V96" s="17"/>
      <c r="W96" s="18"/>
    </row>
    <row r="97" spans="1:23" x14ac:dyDescent="0.35">
      <c r="A97" s="19" t="s">
        <v>62</v>
      </c>
      <c r="B97" s="85">
        <v>190003706</v>
      </c>
      <c r="C97" s="18">
        <v>18889.5</v>
      </c>
      <c r="D97" s="17">
        <v>190003705</v>
      </c>
      <c r="E97" s="18">
        <v>-154253.64000000001</v>
      </c>
      <c r="F97" s="10"/>
      <c r="G97" s="19"/>
      <c r="H97" s="85"/>
      <c r="I97" s="18"/>
      <c r="J97" s="17"/>
      <c r="K97" s="18"/>
      <c r="L97" s="10"/>
      <c r="M97" s="19"/>
      <c r="N97" s="85"/>
      <c r="O97" s="18"/>
      <c r="P97" s="17"/>
      <c r="Q97" s="18"/>
      <c r="R97" s="10"/>
      <c r="S97" s="19"/>
      <c r="T97" s="85"/>
      <c r="U97" s="18"/>
      <c r="V97" s="17"/>
      <c r="W97" s="18"/>
    </row>
    <row r="98" spans="1:23" x14ac:dyDescent="0.35">
      <c r="A98" s="19" t="s">
        <v>62</v>
      </c>
      <c r="B98" s="85">
        <v>190003704</v>
      </c>
      <c r="C98" s="18">
        <v>550983.16</v>
      </c>
      <c r="D98" s="17"/>
      <c r="E98" s="18"/>
      <c r="F98" s="10"/>
      <c r="G98" s="19"/>
      <c r="H98" s="85"/>
      <c r="I98" s="18"/>
      <c r="J98" s="17"/>
      <c r="K98" s="18"/>
      <c r="L98" s="10"/>
      <c r="M98" s="19"/>
      <c r="N98" s="85"/>
      <c r="O98" s="18"/>
      <c r="P98" s="17"/>
      <c r="Q98" s="18"/>
      <c r="R98" s="10"/>
      <c r="S98" s="19"/>
      <c r="T98" s="85"/>
      <c r="U98" s="18"/>
      <c r="V98" s="17"/>
      <c r="W98" s="18"/>
    </row>
    <row r="99" spans="1:23" x14ac:dyDescent="0.35">
      <c r="A99" s="19" t="s">
        <v>48</v>
      </c>
      <c r="B99" s="85">
        <v>190003715</v>
      </c>
      <c r="C99" s="18">
        <v>28766.85</v>
      </c>
      <c r="D99" s="17">
        <v>190003714</v>
      </c>
      <c r="E99" s="18">
        <v>-202901.56</v>
      </c>
      <c r="F99" s="10"/>
      <c r="G99" s="19"/>
      <c r="H99" s="85"/>
      <c r="I99" s="18"/>
      <c r="J99" s="17"/>
      <c r="K99" s="18"/>
      <c r="L99" s="10"/>
      <c r="M99" s="19"/>
      <c r="N99" s="85"/>
      <c r="O99" s="18"/>
      <c r="P99" s="17"/>
      <c r="Q99" s="18"/>
      <c r="R99" s="10"/>
      <c r="S99" s="19"/>
      <c r="T99" s="85"/>
      <c r="U99" s="18"/>
      <c r="V99" s="17"/>
      <c r="W99" s="18"/>
    </row>
    <row r="100" spans="1:23" x14ac:dyDescent="0.35">
      <c r="A100" s="19" t="s">
        <v>53</v>
      </c>
      <c r="B100" s="85">
        <v>190003718</v>
      </c>
      <c r="C100" s="18">
        <v>64786.9</v>
      </c>
      <c r="D100" s="17">
        <v>190003717</v>
      </c>
      <c r="E100" s="18">
        <v>-278058</v>
      </c>
      <c r="F100" s="10"/>
      <c r="G100" s="19"/>
      <c r="H100" s="85"/>
      <c r="I100" s="18"/>
      <c r="J100" s="17"/>
      <c r="K100" s="18"/>
      <c r="L100" s="10"/>
      <c r="M100" s="19"/>
      <c r="N100" s="85"/>
      <c r="O100" s="18"/>
      <c r="P100" s="17"/>
      <c r="Q100" s="18"/>
      <c r="R100" s="10"/>
      <c r="S100" s="19"/>
      <c r="T100" s="85"/>
      <c r="U100" s="18"/>
      <c r="V100" s="17"/>
      <c r="W100" s="18"/>
    </row>
    <row r="101" spans="1:23" x14ac:dyDescent="0.35">
      <c r="A101" s="19" t="s">
        <v>54</v>
      </c>
      <c r="B101" s="85">
        <v>190003719</v>
      </c>
      <c r="C101" s="18">
        <v>141959.45000000001</v>
      </c>
      <c r="D101" s="17">
        <v>190003720</v>
      </c>
      <c r="E101" s="18">
        <v>-420523.73</v>
      </c>
      <c r="F101" s="10"/>
      <c r="G101" s="19"/>
      <c r="H101" s="85"/>
      <c r="I101" s="18"/>
      <c r="J101" s="17"/>
      <c r="K101" s="18"/>
      <c r="L101" s="10"/>
      <c r="M101" s="19"/>
      <c r="N101" s="85"/>
      <c r="O101" s="18"/>
      <c r="P101" s="17"/>
      <c r="Q101" s="18"/>
      <c r="R101" s="10"/>
      <c r="S101" s="19"/>
      <c r="T101" s="85"/>
      <c r="U101" s="18"/>
      <c r="V101" s="17"/>
      <c r="W101" s="18"/>
    </row>
    <row r="102" spans="1:23" x14ac:dyDescent="0.35">
      <c r="A102" s="19" t="s">
        <v>50</v>
      </c>
      <c r="B102" s="85">
        <v>190003731</v>
      </c>
      <c r="C102" s="18">
        <v>132004.82</v>
      </c>
      <c r="D102" s="17">
        <v>190003730</v>
      </c>
      <c r="E102" s="18">
        <v>-86529.35</v>
      </c>
      <c r="F102" s="10"/>
      <c r="G102" s="19"/>
      <c r="H102" s="85"/>
      <c r="I102" s="18"/>
      <c r="J102" s="17"/>
      <c r="K102" s="18"/>
      <c r="L102" s="10"/>
      <c r="M102" s="19"/>
      <c r="N102" s="85"/>
      <c r="O102" s="18"/>
      <c r="P102" s="17"/>
      <c r="Q102" s="18"/>
      <c r="R102" s="10"/>
      <c r="S102" s="19"/>
      <c r="T102" s="85"/>
      <c r="U102" s="18"/>
      <c r="V102" s="17"/>
      <c r="W102" s="18"/>
    </row>
    <row r="103" spans="1:23" x14ac:dyDescent="0.35">
      <c r="A103" s="19" t="s">
        <v>36</v>
      </c>
      <c r="B103" s="85">
        <v>190003733</v>
      </c>
      <c r="C103" s="18">
        <v>741380.13</v>
      </c>
      <c r="D103" s="17">
        <v>190003734</v>
      </c>
      <c r="E103" s="18">
        <v>-543254.29</v>
      </c>
      <c r="F103" s="10"/>
      <c r="G103" s="19"/>
      <c r="H103" s="85"/>
      <c r="I103" s="18"/>
      <c r="J103" s="17"/>
      <c r="K103" s="18"/>
      <c r="L103" s="10"/>
      <c r="M103" s="19"/>
      <c r="N103" s="85"/>
      <c r="O103" s="18"/>
      <c r="P103" s="17"/>
      <c r="Q103" s="18"/>
      <c r="R103" s="10"/>
      <c r="S103" s="19"/>
      <c r="T103" s="85"/>
      <c r="U103" s="18"/>
      <c r="V103" s="17"/>
      <c r="W103" s="18"/>
    </row>
    <row r="104" spans="1:23" x14ac:dyDescent="0.35">
      <c r="A104" s="19" t="s">
        <v>60</v>
      </c>
      <c r="B104" s="85">
        <v>190003783</v>
      </c>
      <c r="C104" s="18">
        <v>530659</v>
      </c>
      <c r="D104" s="17">
        <v>190003784</v>
      </c>
      <c r="E104" s="18">
        <v>-565143</v>
      </c>
      <c r="F104" s="10"/>
      <c r="G104" s="19"/>
      <c r="H104" s="85"/>
      <c r="I104" s="18"/>
      <c r="J104" s="17"/>
      <c r="K104" s="18"/>
      <c r="L104" s="10"/>
      <c r="M104" s="19"/>
      <c r="N104" s="85"/>
      <c r="O104" s="18"/>
      <c r="P104" s="17"/>
      <c r="Q104" s="18"/>
      <c r="R104" s="10"/>
      <c r="S104" s="19"/>
      <c r="T104" s="85"/>
      <c r="U104" s="18"/>
      <c r="V104" s="17"/>
      <c r="W104" s="18"/>
    </row>
    <row r="105" spans="1:23" x14ac:dyDescent="0.35">
      <c r="A105" s="19" t="s">
        <v>39</v>
      </c>
      <c r="B105" s="85">
        <v>190003782</v>
      </c>
      <c r="C105" s="18">
        <v>103242</v>
      </c>
      <c r="D105" s="17">
        <v>190003781</v>
      </c>
      <c r="E105" s="18">
        <v>-382746.79</v>
      </c>
      <c r="F105" s="10"/>
      <c r="G105" s="19"/>
      <c r="H105" s="85"/>
      <c r="I105" s="18"/>
      <c r="J105" s="17"/>
      <c r="K105" s="18"/>
      <c r="L105" s="10"/>
      <c r="M105" s="19"/>
      <c r="N105" s="85"/>
      <c r="O105" s="18"/>
      <c r="P105" s="17"/>
      <c r="Q105" s="18"/>
      <c r="R105" s="10"/>
      <c r="S105" s="19"/>
      <c r="T105" s="85"/>
      <c r="U105" s="18"/>
      <c r="V105" s="17"/>
      <c r="W105" s="18"/>
    </row>
    <row r="106" spans="1:23" x14ac:dyDescent="0.35">
      <c r="A106" s="19" t="s">
        <v>43</v>
      </c>
      <c r="B106" s="85">
        <v>190003830</v>
      </c>
      <c r="C106" s="18">
        <v>1097480.02</v>
      </c>
      <c r="D106" s="17">
        <v>190003826</v>
      </c>
      <c r="E106" s="18">
        <v>-1229223.22</v>
      </c>
      <c r="F106" s="10"/>
      <c r="G106" s="19"/>
      <c r="H106" s="85"/>
      <c r="I106" s="18"/>
      <c r="J106" s="17"/>
      <c r="K106" s="18"/>
      <c r="L106" s="10"/>
      <c r="M106" s="19"/>
      <c r="N106" s="85"/>
      <c r="O106" s="18"/>
      <c r="P106" s="17"/>
      <c r="Q106" s="18"/>
      <c r="R106" s="10"/>
      <c r="S106" s="19"/>
      <c r="T106" s="85"/>
      <c r="U106" s="18"/>
      <c r="V106" s="17"/>
      <c r="W106" s="18"/>
    </row>
    <row r="107" spans="1:23" x14ac:dyDescent="0.35">
      <c r="A107" s="19" t="s">
        <v>56</v>
      </c>
      <c r="B107" s="85"/>
      <c r="C107" s="18"/>
      <c r="D107" s="17"/>
      <c r="E107" s="18"/>
      <c r="F107" s="10"/>
      <c r="G107" s="19"/>
      <c r="H107" s="85"/>
      <c r="I107" s="18"/>
      <c r="J107" s="17"/>
      <c r="K107" s="18"/>
      <c r="L107" s="10"/>
      <c r="M107" s="19"/>
      <c r="N107" s="85"/>
      <c r="O107" s="18"/>
      <c r="P107" s="17"/>
      <c r="Q107" s="18"/>
      <c r="R107" s="10"/>
      <c r="S107" s="19"/>
      <c r="T107" s="85"/>
      <c r="U107" s="18"/>
      <c r="V107" s="17"/>
      <c r="W107" s="18"/>
    </row>
    <row r="108" spans="1:23" x14ac:dyDescent="0.35">
      <c r="A108" s="19" t="s">
        <v>38</v>
      </c>
      <c r="B108" s="85">
        <v>190003845</v>
      </c>
      <c r="C108" s="18">
        <v>704445.9</v>
      </c>
      <c r="D108" s="17">
        <v>190003852</v>
      </c>
      <c r="E108" s="18">
        <v>-340023.42</v>
      </c>
      <c r="F108" s="10"/>
      <c r="G108" s="19"/>
      <c r="H108" s="85"/>
      <c r="I108" s="18"/>
      <c r="J108" s="17"/>
      <c r="K108" s="18"/>
      <c r="L108" s="10"/>
      <c r="M108" s="19"/>
      <c r="N108" s="85"/>
      <c r="O108" s="18"/>
      <c r="P108" s="17"/>
      <c r="Q108" s="18"/>
      <c r="R108" s="10"/>
      <c r="S108" s="19"/>
      <c r="T108" s="85"/>
      <c r="U108" s="18"/>
      <c r="V108" s="17"/>
      <c r="W108" s="18"/>
    </row>
    <row r="109" spans="1:23" x14ac:dyDescent="0.35">
      <c r="A109" s="19" t="s">
        <v>45</v>
      </c>
      <c r="B109" s="85">
        <v>190003895</v>
      </c>
      <c r="C109" s="18">
        <v>178270.79</v>
      </c>
      <c r="D109" s="17">
        <v>190003896</v>
      </c>
      <c r="E109" s="18">
        <v>-205962.28</v>
      </c>
      <c r="F109" s="10"/>
      <c r="G109" s="19"/>
      <c r="H109" s="85"/>
      <c r="I109" s="18"/>
      <c r="J109" s="17"/>
      <c r="K109" s="18"/>
      <c r="L109" s="10"/>
      <c r="M109" s="19"/>
      <c r="N109" s="85"/>
      <c r="O109" s="18"/>
      <c r="P109" s="17"/>
      <c r="Q109" s="18"/>
      <c r="R109" s="10"/>
      <c r="S109" s="19"/>
      <c r="T109" s="85"/>
      <c r="U109" s="18"/>
      <c r="V109" s="17"/>
      <c r="W109" s="18"/>
    </row>
    <row r="110" spans="1:23" x14ac:dyDescent="0.35">
      <c r="A110" s="19"/>
      <c r="B110" s="85"/>
      <c r="C110" s="18"/>
      <c r="D110" s="17"/>
      <c r="E110" s="18"/>
      <c r="F110" s="10"/>
      <c r="G110" s="19"/>
      <c r="H110" s="85"/>
      <c r="I110" s="18"/>
      <c r="J110" s="17"/>
      <c r="K110" s="18"/>
      <c r="L110" s="10"/>
      <c r="M110" s="19"/>
      <c r="N110" s="85"/>
      <c r="O110" s="18"/>
      <c r="P110" s="17"/>
      <c r="Q110" s="18"/>
      <c r="R110" s="10"/>
      <c r="S110" s="19"/>
      <c r="T110" s="85"/>
      <c r="U110" s="18"/>
      <c r="V110" s="17"/>
      <c r="W110" s="18"/>
    </row>
    <row r="111" spans="1:23" x14ac:dyDescent="0.35">
      <c r="A111" s="19"/>
      <c r="B111" s="85"/>
      <c r="C111" s="18"/>
      <c r="D111" s="17"/>
      <c r="E111" s="18"/>
      <c r="F111" s="10"/>
      <c r="G111" s="19"/>
      <c r="H111" s="85"/>
      <c r="I111" s="18"/>
      <c r="J111" s="17"/>
      <c r="K111" s="18"/>
      <c r="L111" s="10"/>
      <c r="M111" s="19"/>
      <c r="N111" s="85"/>
      <c r="O111" s="18"/>
      <c r="P111" s="17"/>
      <c r="Q111" s="18"/>
      <c r="R111" s="10"/>
      <c r="S111" s="19"/>
      <c r="T111" s="85"/>
      <c r="U111" s="18"/>
      <c r="V111" s="17"/>
      <c r="W111" s="18"/>
    </row>
    <row r="112" spans="1:23" x14ac:dyDescent="0.35">
      <c r="A112" s="19"/>
      <c r="B112" s="85"/>
      <c r="C112" s="18"/>
      <c r="D112" s="17"/>
      <c r="E112" s="18"/>
      <c r="F112" s="10"/>
      <c r="G112" s="19"/>
      <c r="H112" s="85"/>
      <c r="I112" s="18"/>
      <c r="J112" s="17"/>
      <c r="K112" s="18"/>
      <c r="L112" s="10"/>
      <c r="M112" s="19"/>
      <c r="N112" s="85"/>
      <c r="O112" s="18"/>
      <c r="P112" s="17"/>
      <c r="Q112" s="18"/>
      <c r="R112" s="10"/>
      <c r="S112" s="19"/>
      <c r="T112" s="85"/>
      <c r="U112" s="18"/>
      <c r="V112" s="17"/>
      <c r="W112" s="18"/>
    </row>
    <row r="113" spans="1:23" x14ac:dyDescent="0.35">
      <c r="A113" s="19"/>
      <c r="B113" s="85"/>
      <c r="C113" s="18"/>
      <c r="D113" s="17"/>
      <c r="E113" s="18"/>
      <c r="F113" s="10"/>
      <c r="G113" s="19"/>
      <c r="H113" s="85"/>
      <c r="I113" s="18"/>
      <c r="J113" s="17"/>
      <c r="K113" s="18"/>
      <c r="L113" s="10"/>
      <c r="M113" s="19"/>
      <c r="N113" s="85"/>
      <c r="O113" s="18"/>
      <c r="P113" s="17"/>
      <c r="Q113" s="18"/>
      <c r="R113" s="10"/>
      <c r="S113" s="19"/>
      <c r="T113" s="85"/>
      <c r="U113" s="18"/>
      <c r="V113" s="17"/>
      <c r="W113" s="18"/>
    </row>
    <row r="114" spans="1:23" x14ac:dyDescent="0.35">
      <c r="A114" s="19"/>
      <c r="B114" s="85"/>
      <c r="C114" s="18"/>
      <c r="D114" s="17"/>
      <c r="E114" s="18"/>
      <c r="F114" s="10"/>
      <c r="G114" s="19"/>
      <c r="H114" s="85"/>
      <c r="I114" s="18"/>
      <c r="J114" s="17"/>
      <c r="K114" s="18"/>
      <c r="L114" s="10"/>
      <c r="M114" s="19"/>
      <c r="N114" s="85"/>
      <c r="O114" s="18"/>
      <c r="P114" s="17"/>
      <c r="Q114" s="18"/>
      <c r="R114" s="10"/>
      <c r="S114" s="19"/>
      <c r="T114" s="85"/>
      <c r="U114" s="18"/>
      <c r="V114" s="17"/>
      <c r="W114" s="18"/>
    </row>
    <row r="115" spans="1:23" x14ac:dyDescent="0.35">
      <c r="A115" s="19"/>
      <c r="B115" s="85"/>
      <c r="C115" s="18"/>
      <c r="D115" s="17"/>
      <c r="E115" s="18"/>
      <c r="F115" s="10"/>
      <c r="G115" s="19"/>
      <c r="H115" s="85"/>
      <c r="I115" s="18"/>
      <c r="J115" s="17"/>
      <c r="K115" s="18"/>
      <c r="L115" s="10"/>
      <c r="M115" s="19"/>
      <c r="N115" s="85"/>
      <c r="O115" s="18"/>
      <c r="P115" s="17"/>
      <c r="Q115" s="18"/>
      <c r="R115" s="10"/>
      <c r="S115" s="19"/>
      <c r="T115" s="85"/>
      <c r="U115" s="18"/>
      <c r="V115" s="17"/>
      <c r="W115" s="18"/>
    </row>
    <row r="116" spans="1:23" x14ac:dyDescent="0.35">
      <c r="A116" s="19"/>
      <c r="B116" s="85"/>
      <c r="C116" s="18"/>
      <c r="D116" s="17"/>
      <c r="E116" s="18"/>
      <c r="F116" s="10"/>
      <c r="G116" s="19"/>
      <c r="H116" s="85"/>
      <c r="I116" s="18"/>
      <c r="J116" s="17"/>
      <c r="K116" s="18"/>
      <c r="L116" s="10"/>
      <c r="M116" s="19"/>
      <c r="N116" s="85"/>
      <c r="O116" s="18"/>
      <c r="P116" s="17"/>
      <c r="Q116" s="18"/>
      <c r="R116" s="10"/>
      <c r="S116" s="19"/>
      <c r="T116" s="85"/>
      <c r="U116" s="18"/>
      <c r="V116" s="17"/>
      <c r="W116" s="18"/>
    </row>
    <row r="117" spans="1:23" x14ac:dyDescent="0.35">
      <c r="A117" s="19"/>
      <c r="B117" s="85"/>
      <c r="C117" s="18"/>
      <c r="D117" s="17"/>
      <c r="E117" s="18"/>
      <c r="F117" s="10"/>
      <c r="G117" s="19"/>
      <c r="H117" s="85"/>
      <c r="I117" s="18"/>
      <c r="J117" s="17"/>
      <c r="K117" s="18"/>
      <c r="L117" s="10"/>
      <c r="M117" s="19"/>
      <c r="N117" s="85"/>
      <c r="O117" s="18"/>
      <c r="P117" s="17"/>
      <c r="Q117" s="18"/>
      <c r="R117" s="10"/>
      <c r="S117" s="19"/>
      <c r="T117" s="85"/>
      <c r="U117" s="18"/>
      <c r="V117" s="17"/>
      <c r="W117" s="18"/>
    </row>
    <row r="118" spans="1:23" x14ac:dyDescent="0.35">
      <c r="A118" s="19"/>
      <c r="B118" s="85"/>
      <c r="C118" s="18"/>
      <c r="D118" s="17"/>
      <c r="E118" s="18"/>
      <c r="F118" s="10"/>
      <c r="G118" s="19"/>
      <c r="H118" s="85"/>
      <c r="I118" s="18"/>
      <c r="J118" s="17"/>
      <c r="K118" s="18"/>
      <c r="L118" s="10"/>
      <c r="M118" s="19"/>
      <c r="N118" s="85"/>
      <c r="O118" s="18"/>
      <c r="P118" s="17"/>
      <c r="Q118" s="18"/>
      <c r="R118" s="10"/>
      <c r="S118" s="19"/>
      <c r="T118" s="85"/>
      <c r="U118" s="18"/>
      <c r="V118" s="17"/>
      <c r="W118" s="18"/>
    </row>
    <row r="119" spans="1:23" x14ac:dyDescent="0.35">
      <c r="A119" s="19"/>
      <c r="B119" s="85"/>
      <c r="C119" s="18"/>
      <c r="D119" s="17"/>
      <c r="E119" s="18"/>
      <c r="F119" s="10"/>
      <c r="G119" s="19"/>
      <c r="H119" s="85"/>
      <c r="I119" s="18"/>
      <c r="J119" s="17"/>
      <c r="K119" s="18"/>
      <c r="L119" s="10"/>
      <c r="M119" s="19"/>
      <c r="N119" s="85"/>
      <c r="O119" s="18"/>
      <c r="P119" s="17"/>
      <c r="Q119" s="18"/>
      <c r="R119" s="10"/>
      <c r="S119" s="19"/>
      <c r="T119" s="85"/>
      <c r="U119" s="18"/>
      <c r="V119" s="17"/>
      <c r="W119" s="18"/>
    </row>
    <row r="120" spans="1:23" x14ac:dyDescent="0.35">
      <c r="A120" s="19"/>
      <c r="B120" s="85"/>
      <c r="C120" s="18"/>
      <c r="D120" s="17"/>
      <c r="E120" s="18"/>
      <c r="F120" s="10"/>
      <c r="G120" s="19"/>
      <c r="H120" s="85"/>
      <c r="I120" s="18"/>
      <c r="J120" s="17"/>
      <c r="K120" s="18"/>
      <c r="L120" s="10"/>
      <c r="M120" s="19"/>
      <c r="N120" s="85"/>
      <c r="O120" s="18"/>
      <c r="P120" s="17"/>
      <c r="Q120" s="18"/>
      <c r="R120" s="10"/>
      <c r="S120" s="19"/>
      <c r="T120" s="85"/>
      <c r="U120" s="18"/>
      <c r="V120" s="17"/>
      <c r="W120" s="18"/>
    </row>
    <row r="121" spans="1:23" x14ac:dyDescent="0.35">
      <c r="A121" s="19"/>
      <c r="B121" s="85"/>
      <c r="C121" s="18"/>
      <c r="D121" s="17"/>
      <c r="E121" s="18"/>
      <c r="F121" s="10"/>
      <c r="G121" s="19"/>
      <c r="H121" s="85"/>
      <c r="I121" s="18"/>
      <c r="J121" s="17"/>
      <c r="K121" s="18"/>
      <c r="L121" s="10"/>
      <c r="M121" s="19"/>
      <c r="N121" s="85"/>
      <c r="O121" s="18"/>
      <c r="P121" s="17"/>
      <c r="Q121" s="18"/>
      <c r="R121" s="10"/>
      <c r="S121" s="19"/>
      <c r="T121" s="85"/>
      <c r="U121" s="18"/>
      <c r="V121" s="17"/>
      <c r="W121" s="18"/>
    </row>
    <row r="122" spans="1:23" x14ac:dyDescent="0.35">
      <c r="A122" s="19"/>
      <c r="B122" s="85"/>
      <c r="C122" s="18"/>
      <c r="D122" s="17"/>
      <c r="E122" s="18"/>
      <c r="F122" s="10"/>
      <c r="G122" s="19"/>
      <c r="H122" s="85"/>
      <c r="I122" s="18"/>
      <c r="J122" s="17"/>
      <c r="K122" s="18"/>
      <c r="L122" s="10"/>
      <c r="M122" s="19"/>
      <c r="N122" s="85"/>
      <c r="O122" s="18"/>
      <c r="P122" s="17"/>
      <c r="Q122" s="18"/>
      <c r="R122" s="10"/>
      <c r="S122" s="19"/>
      <c r="T122" s="85"/>
      <c r="U122" s="18"/>
      <c r="V122" s="17"/>
      <c r="W122" s="18"/>
    </row>
    <row r="123" spans="1:23" x14ac:dyDescent="0.35">
      <c r="A123" s="19"/>
      <c r="B123" s="85"/>
      <c r="C123" s="18"/>
      <c r="D123" s="17"/>
      <c r="E123" s="18"/>
      <c r="F123" s="10"/>
      <c r="G123" s="19"/>
      <c r="H123" s="85"/>
      <c r="I123" s="18"/>
      <c r="J123" s="17"/>
      <c r="K123" s="18"/>
      <c r="L123" s="10"/>
      <c r="M123" s="19"/>
      <c r="N123" s="85"/>
      <c r="O123" s="18"/>
      <c r="P123" s="17"/>
      <c r="Q123" s="18"/>
      <c r="R123" s="10"/>
      <c r="S123" s="19"/>
      <c r="T123" s="85"/>
      <c r="U123" s="18"/>
      <c r="V123" s="17"/>
      <c r="W123" s="18"/>
    </row>
    <row r="124" spans="1:23" x14ac:dyDescent="0.35">
      <c r="A124" s="19"/>
      <c r="B124" s="85"/>
      <c r="C124" s="18"/>
      <c r="D124" s="17"/>
      <c r="E124" s="18"/>
      <c r="F124" s="10"/>
      <c r="G124" s="19"/>
      <c r="H124" s="85"/>
      <c r="I124" s="18"/>
      <c r="J124" s="17"/>
      <c r="K124" s="18"/>
      <c r="L124" s="10"/>
      <c r="M124" s="19"/>
      <c r="N124" s="85"/>
      <c r="O124" s="18"/>
      <c r="P124" s="17"/>
      <c r="Q124" s="18"/>
      <c r="R124" s="10"/>
      <c r="S124" s="19"/>
      <c r="T124" s="85"/>
      <c r="U124" s="18"/>
      <c r="V124" s="17"/>
      <c r="W124" s="18"/>
    </row>
    <row r="125" spans="1:23" x14ac:dyDescent="0.35">
      <c r="A125" s="19"/>
      <c r="B125" s="85"/>
      <c r="C125" s="18"/>
      <c r="D125" s="17"/>
      <c r="E125" s="18"/>
      <c r="F125" s="10"/>
      <c r="G125" s="19"/>
      <c r="H125" s="85"/>
      <c r="I125" s="18"/>
      <c r="J125" s="17"/>
      <c r="K125" s="18"/>
      <c r="L125" s="10"/>
      <c r="M125" s="19"/>
      <c r="N125" s="85"/>
      <c r="O125" s="18"/>
      <c r="P125" s="17"/>
      <c r="Q125" s="18"/>
      <c r="R125" s="10"/>
      <c r="S125" s="19"/>
      <c r="T125" s="85"/>
      <c r="U125" s="18"/>
      <c r="V125" s="17"/>
      <c r="W125" s="18"/>
    </row>
    <row r="126" spans="1:23" x14ac:dyDescent="0.35">
      <c r="A126" s="19"/>
      <c r="B126" s="85"/>
      <c r="C126" s="18"/>
      <c r="D126" s="17"/>
      <c r="E126" s="18"/>
      <c r="F126" s="10"/>
      <c r="G126" s="19"/>
      <c r="H126" s="85"/>
      <c r="I126" s="18"/>
      <c r="J126" s="17"/>
      <c r="K126" s="18"/>
      <c r="L126" s="10"/>
      <c r="M126" s="19"/>
      <c r="N126" s="85"/>
      <c r="O126" s="18"/>
      <c r="P126" s="17"/>
      <c r="Q126" s="18"/>
      <c r="R126" s="10"/>
      <c r="S126" s="19"/>
      <c r="T126" s="85"/>
      <c r="U126" s="18"/>
      <c r="V126" s="17"/>
      <c r="W126" s="18"/>
    </row>
    <row r="127" spans="1:23" x14ac:dyDescent="0.35">
      <c r="A127" s="19"/>
      <c r="B127" s="85"/>
      <c r="C127" s="18"/>
      <c r="D127" s="17"/>
      <c r="E127" s="18"/>
      <c r="F127" s="10"/>
      <c r="G127" s="19"/>
      <c r="H127" s="85"/>
      <c r="I127" s="18"/>
      <c r="J127" s="17"/>
      <c r="K127" s="18"/>
      <c r="L127" s="10"/>
      <c r="M127" s="19"/>
      <c r="N127" s="85"/>
      <c r="O127" s="18"/>
      <c r="P127" s="17"/>
      <c r="Q127" s="18"/>
      <c r="R127" s="10"/>
      <c r="S127" s="19"/>
      <c r="T127" s="85"/>
      <c r="U127" s="18"/>
      <c r="V127" s="17"/>
      <c r="W127" s="18"/>
    </row>
    <row r="128" spans="1:23" x14ac:dyDescent="0.35">
      <c r="A128" s="19"/>
      <c r="B128" s="85"/>
      <c r="C128" s="18"/>
      <c r="D128" s="17"/>
      <c r="E128" s="18"/>
      <c r="F128" s="10"/>
      <c r="G128" s="19"/>
      <c r="H128" s="85"/>
      <c r="I128" s="18"/>
      <c r="J128" s="17"/>
      <c r="K128" s="18"/>
      <c r="L128" s="10"/>
      <c r="M128" s="19"/>
      <c r="N128" s="85"/>
      <c r="O128" s="18"/>
      <c r="P128" s="17"/>
      <c r="Q128" s="18"/>
      <c r="R128" s="10"/>
      <c r="S128" s="19"/>
      <c r="T128" s="85"/>
      <c r="U128" s="18"/>
      <c r="V128" s="17"/>
      <c r="W128" s="18"/>
    </row>
    <row r="129" spans="1:23" x14ac:dyDescent="0.35">
      <c r="A129" s="19"/>
      <c r="B129" s="85"/>
      <c r="C129" s="18"/>
      <c r="D129" s="17"/>
      <c r="E129" s="18"/>
      <c r="F129" s="10"/>
      <c r="G129" s="19"/>
      <c r="H129" s="85"/>
      <c r="I129" s="18"/>
      <c r="J129" s="17"/>
      <c r="K129" s="18"/>
      <c r="L129" s="10"/>
      <c r="M129" s="19"/>
      <c r="N129" s="85"/>
      <c r="O129" s="18"/>
      <c r="P129" s="17"/>
      <c r="Q129" s="18"/>
      <c r="R129" s="10"/>
      <c r="S129" s="19"/>
      <c r="T129" s="85"/>
      <c r="U129" s="18"/>
      <c r="V129" s="17"/>
      <c r="W129" s="18"/>
    </row>
    <row r="130" spans="1:23" x14ac:dyDescent="0.35">
      <c r="A130" s="19"/>
      <c r="B130" s="85"/>
      <c r="C130" s="18"/>
      <c r="D130" s="17"/>
      <c r="E130" s="18"/>
      <c r="F130" s="10"/>
      <c r="G130" s="19"/>
      <c r="H130" s="85"/>
      <c r="I130" s="18"/>
      <c r="J130" s="17"/>
      <c r="K130" s="18"/>
      <c r="L130" s="10"/>
      <c r="M130" s="19"/>
      <c r="N130" s="85"/>
      <c r="O130" s="18"/>
      <c r="P130" s="17"/>
      <c r="Q130" s="18"/>
      <c r="R130" s="10"/>
      <c r="S130" s="19"/>
      <c r="T130" s="85"/>
      <c r="U130" s="18"/>
      <c r="V130" s="17"/>
      <c r="W130" s="18"/>
    </row>
    <row r="131" spans="1:23" x14ac:dyDescent="0.35">
      <c r="A131" s="19"/>
      <c r="B131" s="85"/>
      <c r="C131" s="18"/>
      <c r="D131" s="17"/>
      <c r="E131" s="18"/>
      <c r="F131" s="10"/>
      <c r="G131" s="19"/>
      <c r="H131" s="85"/>
      <c r="I131" s="18"/>
      <c r="J131" s="17"/>
      <c r="K131" s="18"/>
      <c r="L131" s="10"/>
      <c r="M131" s="19"/>
      <c r="N131" s="85"/>
      <c r="O131" s="18"/>
      <c r="P131" s="17"/>
      <c r="Q131" s="18"/>
      <c r="R131" s="10"/>
      <c r="S131" s="19"/>
      <c r="T131" s="85"/>
      <c r="U131" s="18"/>
      <c r="V131" s="17"/>
      <c r="W131" s="18"/>
    </row>
    <row r="132" spans="1:23" x14ac:dyDescent="0.35">
      <c r="A132" s="19"/>
      <c r="B132" s="85"/>
      <c r="C132" s="18"/>
      <c r="D132" s="17"/>
      <c r="E132" s="18"/>
      <c r="F132" s="10"/>
      <c r="G132" s="19"/>
      <c r="H132" s="85"/>
      <c r="I132" s="18"/>
      <c r="J132" s="17"/>
      <c r="K132" s="18"/>
      <c r="L132" s="10"/>
      <c r="M132" s="19"/>
      <c r="N132" s="85"/>
      <c r="O132" s="18"/>
      <c r="P132" s="17"/>
      <c r="Q132" s="18"/>
      <c r="R132" s="10"/>
      <c r="S132" s="19"/>
      <c r="T132" s="85"/>
      <c r="U132" s="18"/>
      <c r="V132" s="17"/>
      <c r="W132" s="18"/>
    </row>
    <row r="133" spans="1:23" x14ac:dyDescent="0.35">
      <c r="A133" s="19"/>
      <c r="B133" s="85"/>
      <c r="C133" s="18"/>
      <c r="D133" s="17"/>
      <c r="E133" s="18"/>
      <c r="F133" s="10"/>
      <c r="G133" s="19"/>
      <c r="H133" s="85"/>
      <c r="I133" s="18"/>
      <c r="J133" s="17"/>
      <c r="K133" s="18"/>
      <c r="L133" s="10"/>
      <c r="M133" s="19"/>
      <c r="N133" s="85"/>
      <c r="O133" s="18"/>
      <c r="P133" s="17"/>
      <c r="Q133" s="18"/>
      <c r="R133" s="10"/>
      <c r="S133" s="19"/>
      <c r="T133" s="85"/>
      <c r="U133" s="18"/>
      <c r="V133" s="17"/>
      <c r="W133" s="18"/>
    </row>
    <row r="134" spans="1:23" x14ac:dyDescent="0.35">
      <c r="A134" s="19"/>
      <c r="B134" s="85"/>
      <c r="C134" s="18"/>
      <c r="D134" s="17"/>
      <c r="E134" s="18"/>
      <c r="F134" s="10"/>
      <c r="G134" s="19"/>
      <c r="H134" s="85"/>
      <c r="I134" s="18"/>
      <c r="J134" s="17"/>
      <c r="K134" s="18"/>
      <c r="L134" s="10"/>
      <c r="M134" s="19"/>
      <c r="N134" s="85"/>
      <c r="O134" s="18"/>
      <c r="P134" s="17"/>
      <c r="Q134" s="18"/>
      <c r="R134" s="10"/>
      <c r="S134" s="19"/>
      <c r="T134" s="85"/>
      <c r="U134" s="18"/>
      <c r="V134" s="17"/>
      <c r="W134" s="18"/>
    </row>
    <row r="135" spans="1:23" x14ac:dyDescent="0.35">
      <c r="A135" s="19"/>
      <c r="B135" s="85"/>
      <c r="C135" s="18"/>
      <c r="D135" s="17"/>
      <c r="E135" s="18"/>
      <c r="F135" s="10"/>
      <c r="G135" s="19"/>
      <c r="H135" s="85"/>
      <c r="I135" s="18"/>
      <c r="J135" s="17"/>
      <c r="K135" s="18"/>
      <c r="L135" s="10"/>
      <c r="M135" s="19"/>
      <c r="N135" s="85"/>
      <c r="O135" s="18"/>
      <c r="P135" s="17"/>
      <c r="Q135" s="18"/>
      <c r="R135" s="10"/>
      <c r="S135" s="19"/>
      <c r="T135" s="85"/>
      <c r="U135" s="18"/>
      <c r="V135" s="17"/>
      <c r="W135" s="18"/>
    </row>
    <row r="136" spans="1:23" x14ac:dyDescent="0.35">
      <c r="A136" s="19"/>
      <c r="B136" s="85"/>
      <c r="C136" s="18"/>
      <c r="D136" s="17"/>
      <c r="E136" s="18"/>
      <c r="F136" s="10"/>
      <c r="G136" s="19"/>
      <c r="H136" s="85"/>
      <c r="I136" s="18"/>
      <c r="J136" s="17"/>
      <c r="K136" s="18"/>
      <c r="L136" s="10"/>
      <c r="M136" s="19"/>
      <c r="N136" s="85"/>
      <c r="O136" s="18"/>
      <c r="P136" s="17"/>
      <c r="Q136" s="18"/>
      <c r="R136" s="10"/>
      <c r="S136" s="19"/>
      <c r="T136" s="85"/>
      <c r="U136" s="18"/>
      <c r="V136" s="17"/>
      <c r="W136" s="18"/>
    </row>
    <row r="137" spans="1:23" x14ac:dyDescent="0.35">
      <c r="A137" s="19"/>
      <c r="B137" s="85"/>
      <c r="C137" s="18"/>
      <c r="D137" s="17"/>
      <c r="E137" s="18"/>
      <c r="F137" s="10"/>
      <c r="G137" s="19"/>
      <c r="H137" s="85"/>
      <c r="I137" s="18"/>
      <c r="J137" s="17"/>
      <c r="K137" s="18"/>
      <c r="L137" s="10"/>
      <c r="M137" s="19"/>
      <c r="N137" s="85"/>
      <c r="O137" s="18"/>
      <c r="P137" s="17"/>
      <c r="Q137" s="18"/>
      <c r="R137" s="10"/>
      <c r="S137" s="19"/>
      <c r="T137" s="85"/>
      <c r="U137" s="18"/>
      <c r="V137" s="17"/>
      <c r="W137" s="18"/>
    </row>
    <row r="138" spans="1:23" x14ac:dyDescent="0.35">
      <c r="A138" s="19"/>
      <c r="B138" s="85"/>
      <c r="C138" s="18"/>
      <c r="D138" s="17"/>
      <c r="E138" s="18"/>
      <c r="F138" s="10"/>
      <c r="G138" s="19"/>
      <c r="H138" s="85"/>
      <c r="I138" s="18"/>
      <c r="J138" s="17"/>
      <c r="K138" s="18"/>
      <c r="L138" s="10"/>
      <c r="M138" s="19"/>
      <c r="N138" s="85"/>
      <c r="O138" s="18"/>
      <c r="P138" s="17"/>
      <c r="Q138" s="18"/>
      <c r="R138" s="10"/>
      <c r="S138" s="19"/>
      <c r="T138" s="85"/>
      <c r="U138" s="18"/>
      <c r="V138" s="17"/>
      <c r="W138" s="18"/>
    </row>
    <row r="139" spans="1:23" x14ac:dyDescent="0.35">
      <c r="A139" s="19"/>
      <c r="B139" s="85"/>
      <c r="C139" s="18"/>
      <c r="D139" s="17"/>
      <c r="E139" s="18"/>
      <c r="F139" s="10"/>
      <c r="G139" s="19"/>
      <c r="H139" s="85"/>
      <c r="I139" s="18"/>
      <c r="J139" s="17"/>
      <c r="K139" s="18"/>
      <c r="L139" s="10"/>
      <c r="M139" s="19"/>
      <c r="N139" s="85"/>
      <c r="O139" s="18"/>
      <c r="P139" s="17"/>
      <c r="Q139" s="18"/>
      <c r="R139" s="10"/>
      <c r="S139" s="19"/>
      <c r="T139" s="85"/>
      <c r="U139" s="18"/>
      <c r="V139" s="17"/>
      <c r="W139" s="18"/>
    </row>
    <row r="140" spans="1:23" x14ac:dyDescent="0.35">
      <c r="A140" s="19"/>
      <c r="B140" s="85"/>
      <c r="C140" s="18"/>
      <c r="D140" s="17"/>
      <c r="E140" s="18"/>
      <c r="F140" s="10"/>
      <c r="G140" s="19"/>
      <c r="H140" s="85"/>
      <c r="I140" s="18"/>
      <c r="J140" s="17"/>
      <c r="K140" s="18"/>
      <c r="L140" s="10"/>
      <c r="M140" s="19"/>
      <c r="N140" s="85"/>
      <c r="O140" s="18"/>
      <c r="P140" s="17"/>
      <c r="Q140" s="18"/>
      <c r="R140" s="10"/>
      <c r="S140" s="19"/>
      <c r="T140" s="85"/>
      <c r="U140" s="18"/>
      <c r="V140" s="17"/>
      <c r="W140" s="18"/>
    </row>
    <row r="141" spans="1:23" x14ac:dyDescent="0.35">
      <c r="A141" s="19"/>
      <c r="B141" s="85"/>
      <c r="C141" s="18"/>
      <c r="D141" s="17"/>
      <c r="E141" s="18"/>
      <c r="F141" s="10"/>
      <c r="G141" s="19"/>
      <c r="H141" s="85"/>
      <c r="I141" s="18"/>
      <c r="J141" s="17"/>
      <c r="K141" s="18"/>
      <c r="L141" s="10"/>
      <c r="M141" s="19"/>
      <c r="N141" s="85"/>
      <c r="O141" s="18"/>
      <c r="P141" s="17"/>
      <c r="Q141" s="18"/>
      <c r="R141" s="10"/>
      <c r="S141" s="19"/>
      <c r="T141" s="85"/>
      <c r="U141" s="18"/>
      <c r="V141" s="17"/>
      <c r="W141" s="18"/>
    </row>
    <row r="142" spans="1:23" x14ac:dyDescent="0.35">
      <c r="A142" s="19"/>
      <c r="B142" s="85"/>
      <c r="C142" s="18"/>
      <c r="D142" s="17"/>
      <c r="E142" s="18"/>
      <c r="F142" s="10"/>
      <c r="G142" s="19"/>
      <c r="H142" s="85"/>
      <c r="I142" s="18"/>
      <c r="J142" s="17"/>
      <c r="K142" s="18"/>
      <c r="L142" s="10"/>
      <c r="M142" s="19"/>
      <c r="N142" s="85"/>
      <c r="O142" s="18"/>
      <c r="P142" s="17"/>
      <c r="Q142" s="18"/>
      <c r="R142" s="10"/>
      <c r="S142" s="19"/>
      <c r="T142" s="85"/>
      <c r="U142" s="18"/>
      <c r="V142" s="17"/>
      <c r="W142" s="18"/>
    </row>
    <row r="143" spans="1:23" x14ac:dyDescent="0.35">
      <c r="A143" s="19"/>
      <c r="B143" s="85"/>
      <c r="C143" s="18"/>
      <c r="D143" s="17"/>
      <c r="E143" s="18"/>
      <c r="F143" s="10"/>
      <c r="G143" s="19"/>
      <c r="H143" s="85"/>
      <c r="I143" s="18"/>
      <c r="J143" s="17"/>
      <c r="K143" s="18"/>
      <c r="L143" s="10"/>
      <c r="M143" s="19"/>
      <c r="N143" s="85"/>
      <c r="O143" s="18"/>
      <c r="P143" s="17"/>
      <c r="Q143" s="18"/>
      <c r="R143" s="10"/>
      <c r="S143" s="19"/>
      <c r="T143" s="85"/>
      <c r="U143" s="18"/>
      <c r="V143" s="17"/>
      <c r="W143" s="18"/>
    </row>
    <row r="144" spans="1:23" x14ac:dyDescent="0.35">
      <c r="A144" s="19"/>
      <c r="B144" s="85"/>
      <c r="C144" s="18"/>
      <c r="D144" s="17"/>
      <c r="E144" s="18"/>
      <c r="F144" s="10"/>
      <c r="G144" s="19"/>
      <c r="H144" s="85"/>
      <c r="I144" s="18"/>
      <c r="J144" s="17"/>
      <c r="K144" s="18"/>
      <c r="L144" s="10"/>
      <c r="M144" s="19"/>
      <c r="N144" s="85"/>
      <c r="O144" s="18"/>
      <c r="P144" s="17"/>
      <c r="Q144" s="18"/>
      <c r="R144" s="10"/>
      <c r="S144" s="19"/>
      <c r="T144" s="85"/>
      <c r="U144" s="18"/>
      <c r="V144" s="17"/>
      <c r="W144" s="18"/>
    </row>
    <row r="145" spans="1:23" x14ac:dyDescent="0.35">
      <c r="A145" s="19"/>
      <c r="B145" s="85"/>
      <c r="C145" s="18"/>
      <c r="D145" s="17"/>
      <c r="E145" s="18"/>
      <c r="F145" s="10"/>
      <c r="G145" s="19"/>
      <c r="H145" s="85"/>
      <c r="I145" s="18"/>
      <c r="J145" s="17"/>
      <c r="K145" s="18"/>
      <c r="L145" s="10"/>
      <c r="M145" s="19"/>
      <c r="N145" s="85"/>
      <c r="O145" s="18"/>
      <c r="P145" s="17"/>
      <c r="Q145" s="18"/>
      <c r="R145" s="10"/>
      <c r="S145" s="19"/>
      <c r="T145" s="85"/>
      <c r="U145" s="18"/>
      <c r="V145" s="17"/>
      <c r="W145" s="18"/>
    </row>
    <row r="146" spans="1:23" x14ac:dyDescent="0.35">
      <c r="A146" s="19"/>
      <c r="B146" s="85"/>
      <c r="C146" s="18"/>
      <c r="D146" s="17"/>
      <c r="E146" s="18"/>
      <c r="F146" s="10"/>
      <c r="G146" s="19"/>
      <c r="H146" s="85"/>
      <c r="I146" s="18"/>
      <c r="J146" s="17"/>
      <c r="K146" s="18"/>
      <c r="L146" s="10"/>
      <c r="M146" s="19"/>
      <c r="N146" s="85"/>
      <c r="O146" s="18"/>
      <c r="P146" s="17"/>
      <c r="Q146" s="18"/>
      <c r="R146" s="10"/>
      <c r="S146" s="19"/>
      <c r="T146" s="85"/>
      <c r="U146" s="18"/>
      <c r="V146" s="17"/>
      <c r="W146" s="18"/>
    </row>
    <row r="147" spans="1:23" x14ac:dyDescent="0.35">
      <c r="A147" s="19"/>
      <c r="B147" s="85"/>
      <c r="C147" s="18"/>
      <c r="D147" s="17"/>
      <c r="E147" s="18"/>
      <c r="F147" s="10"/>
      <c r="G147" s="19"/>
      <c r="H147" s="85"/>
      <c r="I147" s="18"/>
      <c r="J147" s="17"/>
      <c r="K147" s="18"/>
      <c r="L147" s="10"/>
      <c r="M147" s="19"/>
      <c r="N147" s="85"/>
      <c r="O147" s="18"/>
      <c r="P147" s="17"/>
      <c r="Q147" s="18"/>
      <c r="R147" s="10"/>
      <c r="S147" s="19"/>
      <c r="T147" s="85"/>
      <c r="U147" s="18"/>
      <c r="V147" s="17"/>
      <c r="W147" s="18"/>
    </row>
    <row r="148" spans="1:23" x14ac:dyDescent="0.35">
      <c r="A148" s="19"/>
      <c r="B148" s="85"/>
      <c r="C148" s="18"/>
      <c r="D148" s="17"/>
      <c r="E148" s="18"/>
      <c r="F148" s="10"/>
      <c r="G148" s="19"/>
      <c r="H148" s="85"/>
      <c r="I148" s="18"/>
      <c r="J148" s="17"/>
      <c r="K148" s="18"/>
      <c r="L148" s="10"/>
      <c r="M148" s="19"/>
      <c r="N148" s="85"/>
      <c r="O148" s="18"/>
      <c r="P148" s="17"/>
      <c r="Q148" s="18"/>
      <c r="R148" s="10"/>
      <c r="S148" s="19"/>
      <c r="T148" s="85"/>
      <c r="U148" s="18"/>
      <c r="V148" s="17"/>
      <c r="W148" s="18"/>
    </row>
    <row r="149" spans="1:23" x14ac:dyDescent="0.35">
      <c r="A149" s="19"/>
      <c r="B149" s="85"/>
      <c r="C149" s="18"/>
      <c r="D149" s="17"/>
      <c r="E149" s="18"/>
      <c r="F149" s="10"/>
      <c r="G149" s="19"/>
      <c r="H149" s="85"/>
      <c r="I149" s="18"/>
      <c r="J149" s="17"/>
      <c r="K149" s="18"/>
      <c r="L149" s="10"/>
      <c r="M149" s="19"/>
      <c r="N149" s="85"/>
      <c r="O149" s="18"/>
      <c r="P149" s="17"/>
      <c r="Q149" s="18"/>
      <c r="R149" s="10"/>
      <c r="S149" s="19"/>
      <c r="T149" s="85"/>
      <c r="U149" s="18"/>
      <c r="V149" s="17"/>
      <c r="W149" s="18"/>
    </row>
    <row r="150" spans="1:23" x14ac:dyDescent="0.35">
      <c r="A150" s="19"/>
      <c r="B150" s="85"/>
      <c r="C150" s="18"/>
      <c r="D150" s="17"/>
      <c r="E150" s="18"/>
      <c r="F150" s="10"/>
      <c r="G150" s="19"/>
      <c r="H150" s="85"/>
      <c r="I150" s="18"/>
      <c r="J150" s="17"/>
      <c r="K150" s="18"/>
      <c r="L150" s="10"/>
      <c r="M150" s="19"/>
      <c r="N150" s="85"/>
      <c r="O150" s="18"/>
      <c r="P150" s="17"/>
      <c r="Q150" s="18"/>
      <c r="R150" s="10"/>
      <c r="S150" s="19"/>
      <c r="T150" s="85"/>
      <c r="U150" s="18"/>
      <c r="V150" s="17"/>
      <c r="W150" s="18"/>
    </row>
    <row r="151" spans="1:23" ht="15" thickBot="1" x14ac:dyDescent="0.4">
      <c r="A151" s="11">
        <f>COUNTA(A3:A150)</f>
        <v>107</v>
      </c>
      <c r="B151" s="86" t="s">
        <v>299</v>
      </c>
      <c r="C151" s="35">
        <f>SUM(C3:C150)</f>
        <v>7450954.1500000013</v>
      </c>
      <c r="D151" s="12" t="s">
        <v>300</v>
      </c>
      <c r="E151" s="37">
        <f>SUM(E3:E150)</f>
        <v>-7668488.540000001</v>
      </c>
      <c r="F151" s="10"/>
      <c r="G151" s="11">
        <f>COUNTA(G3:G150)</f>
        <v>71</v>
      </c>
      <c r="H151" s="86" t="s">
        <v>299</v>
      </c>
      <c r="I151" s="35">
        <f>SUM(I3:I150)</f>
        <v>795572.9</v>
      </c>
      <c r="J151" s="12" t="s">
        <v>300</v>
      </c>
      <c r="K151" s="37">
        <f>SUM(K3:K150)</f>
        <v>-1753850.5399999998</v>
      </c>
      <c r="L151" s="10"/>
      <c r="M151" s="11">
        <f>COUNTA(M3:M150)</f>
        <v>37</v>
      </c>
      <c r="N151" s="86" t="s">
        <v>299</v>
      </c>
      <c r="O151" s="35">
        <f>SUM(O3:O150)</f>
        <v>1534468.14</v>
      </c>
      <c r="P151" s="12" t="s">
        <v>300</v>
      </c>
      <c r="Q151" s="37">
        <f>SUM(Q3:Q150)</f>
        <v>-1723764.71</v>
      </c>
      <c r="R151" s="10"/>
      <c r="S151" s="11">
        <f>COUNTA(S3:S150)</f>
        <v>11</v>
      </c>
      <c r="T151" s="86" t="s">
        <v>299</v>
      </c>
      <c r="U151" s="35">
        <f>SUM(U3:U150)</f>
        <v>155073.18</v>
      </c>
      <c r="V151" s="12" t="s">
        <v>300</v>
      </c>
      <c r="W151" s="37">
        <f>SUM(W3:W150)</f>
        <v>-1423886.2599999998</v>
      </c>
    </row>
    <row r="152" spans="1:23" x14ac:dyDescent="0.35">
      <c r="A152" s="145" t="s">
        <v>301</v>
      </c>
      <c r="B152" s="146"/>
      <c r="C152" s="146"/>
      <c r="D152" s="149">
        <f>SUM(C151,E151)</f>
        <v>-217534.38999999966</v>
      </c>
      <c r="E152" s="150"/>
      <c r="F152" s="10"/>
      <c r="G152" s="145" t="s">
        <v>301</v>
      </c>
      <c r="H152" s="146"/>
      <c r="I152" s="146"/>
      <c r="J152" s="149">
        <f>SUM(I151,K151)</f>
        <v>-958277.63999999978</v>
      </c>
      <c r="K152" s="150"/>
      <c r="L152" s="10"/>
      <c r="M152" s="145" t="s">
        <v>301</v>
      </c>
      <c r="N152" s="146"/>
      <c r="O152" s="146"/>
      <c r="P152" s="149">
        <f>SUM(O151,Q151)</f>
        <v>-189296.57000000007</v>
      </c>
      <c r="Q152" s="150"/>
      <c r="R152" s="10"/>
      <c r="S152" s="145" t="s">
        <v>301</v>
      </c>
      <c r="T152" s="146"/>
      <c r="U152" s="146"/>
      <c r="V152" s="149">
        <f>SUM(U151,W151)</f>
        <v>-1268813.0799999998</v>
      </c>
      <c r="W152" s="150"/>
    </row>
    <row r="153" spans="1:23" ht="15" thickBot="1" x14ac:dyDescent="0.4">
      <c r="A153" s="147"/>
      <c r="B153" s="148"/>
      <c r="C153" s="148"/>
      <c r="D153" s="151"/>
      <c r="E153" s="152"/>
      <c r="F153" s="10"/>
      <c r="G153" s="147"/>
      <c r="H153" s="148"/>
      <c r="I153" s="148"/>
      <c r="J153" s="151"/>
      <c r="K153" s="152"/>
      <c r="L153" s="10"/>
      <c r="M153" s="147"/>
      <c r="N153" s="148"/>
      <c r="O153" s="148"/>
      <c r="P153" s="151"/>
      <c r="Q153" s="152"/>
      <c r="R153" s="10"/>
      <c r="S153" s="147"/>
      <c r="T153" s="148"/>
      <c r="U153" s="148"/>
      <c r="V153" s="151"/>
      <c r="W153" s="152"/>
    </row>
  </sheetData>
  <sheetProtection algorithmName="SHA-512" hashValue="U1iWRyiuX9IYj42cxWDnOAoUOhcxzFCifnBFGFf7T84Gi+Q7poi4Iocfx7K1MjJlsum0QxRY7dg48C5ayYEhTg==" saltValue="wi6Pooy7oTqsOJGsguphiw==" spinCount="100000" sheet="1" selectLockedCells="1"/>
  <mergeCells count="12">
    <mergeCell ref="A1:E1"/>
    <mergeCell ref="G1:K1"/>
    <mergeCell ref="M1:Q1"/>
    <mergeCell ref="S1:W1"/>
    <mergeCell ref="S152:U153"/>
    <mergeCell ref="V152:W153"/>
    <mergeCell ref="A152:C153"/>
    <mergeCell ref="D152:E153"/>
    <mergeCell ref="G152:I153"/>
    <mergeCell ref="J152:K153"/>
    <mergeCell ref="M152:O153"/>
    <mergeCell ref="P152:Q153"/>
  </mergeCells>
  <conditionalFormatting sqref="E3:E150">
    <cfRule type="cellIs" dxfId="3" priority="4" operator="lessThan">
      <formula>0</formula>
    </cfRule>
  </conditionalFormatting>
  <conditionalFormatting sqref="K3:K150">
    <cfRule type="cellIs" dxfId="2" priority="3" operator="lessThan">
      <formula>0</formula>
    </cfRule>
  </conditionalFormatting>
  <conditionalFormatting sqref="Q1:Q1048576">
    <cfRule type="cellIs" dxfId="1" priority="2" operator="lessThan">
      <formula>0</formula>
    </cfRule>
  </conditionalFormatting>
  <conditionalFormatting sqref="W1:W1048576">
    <cfRule type="cellIs" dxfId="0" priority="1" operator="lessThan">
      <formula>0</formula>
    </cfRule>
  </conditionalFormatting>
  <dataValidations count="14">
    <dataValidation type="custom" operator="lessThanOrEqual" showInputMessage="1" showErrorMessage="1" errorTitle="ERROR" error="La Casilla de ID no Está Completa o el Número es Incorrecto" promptTitle="Ingrese un Monto Negativo" prompt="Monto PVP Total del Ajuste con el signo (-)" sqref="Q3:Q150" xr:uid="{96795C14-5E48-464B-8570-9A4B3304FAA1}">
      <formula1>AND(P3&lt;&gt;"",Q3&lt;=0)</formula1>
    </dataValidation>
    <dataValidation type="custom" operator="greaterThan" showInputMessage="1" showErrorMessage="1" errorTitle="ERROR" error="Debe Ingresar un ID Correcto" promptTitle="Ingresar ID del Ajuste +" prompt="Debe Ingresar un ID" sqref="T3:T150 H3:H150" xr:uid="{A27DC42E-835E-43C4-BC02-558017A2931C}">
      <formula1>AND(ISNUMBER(H3),LEN(H3)&gt;5)</formula1>
    </dataValidation>
    <dataValidation type="custom" operator="greaterThanOrEqual" showInputMessage="1" showErrorMessage="1" errorTitle="ERROR" error="La Casilla de ID no Está Completa o el Número es Incorrecto" promptTitle="Ingrese un Monto Positivo" prompt="Monto PVP Total del Ajuste" sqref="O3:O150 I3:I150" xr:uid="{597326DC-685F-4C9F-980D-CE55471897B1}">
      <formula1>AND(H3&lt;&gt;"",I3&gt;=0)</formula1>
    </dataValidation>
    <dataValidation type="custom" operator="lessThan" showInputMessage="1" showErrorMessage="1" errorTitle="ERROR" error="La Casilla de ID no Está Completa o el Número es Incorrecto" promptTitle="Ingrese un Monto Negativo" prompt="Monto PVP Total del Ajuste Con el Signo (-)" sqref="K3:K150" xr:uid="{7BF05974-3CC4-4AEC-A124-E1CCB63F9D25}">
      <formula1>AND(J3&lt;&gt;"",K3&lt;=0)</formula1>
    </dataValidation>
    <dataValidation type="custom" operator="greaterThanOrEqual" showInputMessage="1" showErrorMessage="1" errorTitle="ERROR" error="La Casilla del ID no Está Completa o el Número es Incorrecto" promptTitle="Ingrese un Monto Positivo" prompt="Monto PVP Total del Ajuste" sqref="U3:U150" xr:uid="{01AF1B33-158D-42CC-9A24-427158D7E804}">
      <formula1>AND(T3&lt;&gt;"",U3&gt;=0)</formula1>
    </dataValidation>
    <dataValidation type="custom" operator="lessThanOrEqual" showInputMessage="1" showErrorMessage="1" errorTitle="ERROR" error="La Casilla de ID no Está Completa o el Número es Incorrecto" promptTitle="Ingrese el Monto Negativo" prompt="Monto PVP Total del Ajuste con el Signo (-)" sqref="W3:W150" xr:uid="{9B00489C-72F3-499B-B135-AA2E8619D4FC}">
      <formula1>AND(V3&lt;&gt;"",W3&lt;=0)</formula1>
    </dataValidation>
    <dataValidation type="custom" showInputMessage="1" showErrorMessage="1" errorTitle="ERROR" error="Debe Ingresar un ID Correcto" promptTitle="Ingresar ID del ajuste +" prompt="Debe Ingresar un ID" sqref="B3:B150" xr:uid="{74A93197-6C52-4C79-81F5-ED1DC8289B29}">
      <formula1>AND(ISNUMBER(B3),LEN(B3)&gt;5)</formula1>
    </dataValidation>
    <dataValidation type="custom" showInputMessage="1" showErrorMessage="1" errorTitle="ERROR" error="La casilla de ID no está Completa o el Número es Incorrecto" promptTitle="Ingrese un Monto Positivo" prompt="Monto PVP Total del ajuste" sqref="C3:C150" xr:uid="{F2A8DB3A-494F-4BFD-AAC2-94CC346E0F62}">
      <formula1>AND(B3&lt;&gt;"",C3&gt;=0)</formula1>
    </dataValidation>
    <dataValidation type="custom" showInputMessage="1" showErrorMessage="1" errorTitle="ERROR" error="Debe Ingresar un ID Correcto" promptTitle="Ingresar ID del ajuste -" prompt="Debe Ingresar un ID" sqref="D3:D150" xr:uid="{92CC744C-E52D-4228-95AF-AE40BB2752C2}">
      <formula1>AND(ISNUMBER(D3),LEN(D3)&gt;5)</formula1>
    </dataValidation>
    <dataValidation type="custom" showInputMessage="1" showErrorMessage="1" errorTitle="ERROR" error="La Casilla de ID No está completa o el Número es incorrecto" promptTitle="Ingrese un Monto Negativo" prompt="Monto PVP Total del ajuste con el signo (-)" sqref="E3:E150" xr:uid="{33CE0A12-31BC-42AE-8050-DB352DA84822}">
      <formula1>AND(D3&lt;&gt;"",E3&lt;=0)</formula1>
    </dataValidation>
    <dataValidation type="custom" showInputMessage="1" showErrorMessage="1" errorTitle="ERROR" error="Debe Ingresar un ID Correcto" promptTitle="Ingresar ID de Ajuste -" prompt="Debe Ingresar un ID" sqref="J3:J150" xr:uid="{B5A91A61-128B-40BD-A04F-55911D33EA2A}">
      <formula1>AND(ISNUMBER(J3),LEN(J3)&gt;5)</formula1>
    </dataValidation>
    <dataValidation type="custom" operator="greaterThan" showInputMessage="1" showErrorMessage="1" errorTitle="ERROR" error="Debe Ingresar un ID Correcto" promptTitle="Ingresar ID de Ajuste +" prompt="Debe Ingresar un ID" sqref="N3:N150" xr:uid="{7D06DFBF-DA11-4CA7-B699-97F20CBA603A}">
      <formula1>AND(ISNUMBER(N3),LEN(N3)&gt;5)</formula1>
    </dataValidation>
    <dataValidation type="custom" showInputMessage="1" showErrorMessage="1" errorTitle="ERROR" error="Debe Ingresar un ID Correcto" promptTitle="Ingresar un ID del Ajuste -" prompt="Debe Ingresar un ID" sqref="P3:P150" xr:uid="{540C1765-58FB-4A1A-9F83-E2F214ACAFA7}">
      <formula1>AND(ISNUMBER(P3),LEN(P3)&gt;5)</formula1>
    </dataValidation>
    <dataValidation type="custom" showInputMessage="1" showErrorMessage="1" errorTitle="ERROR" error="Debe Ingresar un ID Correcto" promptTitle="Ingrese ID del Ajuste -" prompt="Debe Ingresar un ID" sqref="V3:V150" xr:uid="{3FFE83C6-F3BC-4422-BBA9-13DA8201E4FD}">
      <formula1>AND(ISNUMBER(V3),LEN(V3)&gt;5)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ERROR" error="Este laboratorio no existe, consulte para agregar laboratorio" promptTitle="Seleccione Laboratorio" prompt="Debe Indicar un laboratorio." xr:uid="{EB958ABF-A796-4672-A489-0AA4C880362E}">
          <x14:formula1>
            <xm:f>Medicamentos!$B$10:$B$154</xm:f>
          </x14:formula1>
          <xm:sqref>A3:A150</xm:sqref>
        </x14:dataValidation>
        <x14:dataValidation type="list" allowBlank="1" showInputMessage="1" showErrorMessage="1" errorTitle="ERROR" error="Este laboratorio no existe, consulte para agregar laboratorio" promptTitle="Seleccione Laboratorio" prompt="Debe Indicar un laboratorio." xr:uid="{4985F9EA-ADB8-422C-A6FB-06672EAC36B8}">
          <x14:formula1>
            <xm:f>Perfumería!$B$10:$B$83</xm:f>
          </x14:formula1>
          <xm:sqref>G3:G150</xm:sqref>
        </x14:dataValidation>
        <x14:dataValidation type="list" allowBlank="1" showInputMessage="1" showErrorMessage="1" errorTitle="ERROR" error="Este laboratorio no existe, consulte para agregar laboratorio" promptTitle="Seleccione Laboratorio" prompt="Debe Indicar un laboratorio." xr:uid="{1108944E-FB8E-426B-AD7D-8365D7EA4858}">
          <x14:formula1>
            <xm:f>Accesorios!$B$10:$B$123</xm:f>
          </x14:formula1>
          <xm:sqref>M3:M150</xm:sqref>
        </x14:dataValidation>
        <x14:dataValidation type="list" allowBlank="1" showInputMessage="1" showErrorMessage="1" errorTitle="ERROR" error="Este laboratorio no existe, consulte para agregar laboratorio" promptTitle="Seleccione Laboratorio" prompt="Debe Indicar un laboratorio." xr:uid="{5D30DC68-043B-4B90-99FF-3DC84A29145B}">
          <x14:formula1>
            <xm:f>Varios!$B$10:$B$45</xm:f>
          </x14:formula1>
          <xm:sqref>S3:S150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8E4262C6FACCD4EBD819BF7EFD3CF51" ma:contentTypeVersion="4" ma:contentTypeDescription="Crear nuevo documento." ma:contentTypeScope="" ma:versionID="bbc3003606392c7f238c9e39daa8e00e">
  <xsd:schema xmlns:xsd="http://www.w3.org/2001/XMLSchema" xmlns:xs="http://www.w3.org/2001/XMLSchema" xmlns:p="http://schemas.microsoft.com/office/2006/metadata/properties" xmlns:ns2="d928a7b3-b3ae-49b4-9828-39f8fc1e538b" targetNamespace="http://schemas.microsoft.com/office/2006/metadata/properties" ma:root="true" ma:fieldsID="7d161b1b1ac864787c9e9fdc79e06a8d" ns2:_="">
    <xsd:import namespace="d928a7b3-b3ae-49b4-9828-39f8fc1e53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8a7b3-b3ae-49b4-9828-39f8fc1e53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460CB08-7745-42A1-BB29-0949A03C1A89}">
  <ds:schemaRefs>
    <ds:schemaRef ds:uri="http://purl.org/dc/terms/"/>
    <ds:schemaRef ds:uri="http://schemas.microsoft.com/office/infopath/2007/PartnerControls"/>
    <ds:schemaRef ds:uri="http://purl.org/dc/elements/1.1/"/>
    <ds:schemaRef ds:uri="http://www.w3.org/XML/1998/namespace"/>
    <ds:schemaRef ds:uri="http://schemas.microsoft.com/office/2006/documentManagement/types"/>
    <ds:schemaRef ds:uri="d928a7b3-b3ae-49b4-9828-39f8fc1e538b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AE2C6E6B-E2D6-4D8C-AF25-7CAC9C2B6F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28a7b3-b3ae-49b4-9828-39f8fc1e53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8B5EAC9-F9D8-44B3-845B-827E632DEB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CONSOLIDADO - ALCANCE </vt:lpstr>
      <vt:lpstr>Medicamentos</vt:lpstr>
      <vt:lpstr>Perfumería</vt:lpstr>
      <vt:lpstr>Accesorios</vt:lpstr>
      <vt:lpstr>Varios</vt:lpstr>
      <vt:lpstr>Ajustes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Pablo Castello</dc:creator>
  <cp:keywords/>
  <dc:description/>
  <cp:lastModifiedBy>Ezequiel Nazareno Bustos</cp:lastModifiedBy>
  <cp:revision/>
  <dcterms:created xsi:type="dcterms:W3CDTF">2024-03-22T11:48:02Z</dcterms:created>
  <dcterms:modified xsi:type="dcterms:W3CDTF">2025-11-10T11:38:41Z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0x01010008E4262C6FACCD4EBD819BF7EFD3CF51</vt:lpwstr>
  </property>
  <property fmtid="{D5CDD505-2E9C-101B-9397-08002B2CF9AE}" pid="3" name="ComplianceAssetId">
    <vt:lpwstr/>
  </property>
  <property fmtid="{D5CDD505-2E9C-101B-9397-08002B2CF9AE}" pid="4" name="_ExtendedDescription">
    <vt:lpwstr/>
  </property>
  <property fmtid="{D5CDD505-2E9C-101B-9397-08002B2CF9AE}" pid="5" name="_activity">
    <vt:lpwstr>{"FileActivityType":"9","FileActivityTimeStamp":"2024-10-17T17:49:14.987Z","FileActivityUsersOnPage":[{"DisplayName":"Juan Pablo Castello","Id":"jpcastello@farmaplus.com.ar"},{"DisplayName":"Encargado Echeverría","Id":"encargadoecheverria@farmaplus.com.ar"}],"FileActivityNavigationId":null}</vt:lpwstr>
  </property>
  <property fmtid="{D5CDD505-2E9C-101B-9397-08002B2CF9AE}" pid="6" name="TriggerFlowInfo">
    <vt:lpwstr/>
  </property>
</Properties>
</file>